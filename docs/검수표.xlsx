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영상후보" sheetId="2" state="visible" r:id="rId2"/>
    <sheet name="위험신호" sheetId="3" state="visible" r:id="rId3"/>
    <sheet name="운동목록" sheetId="4" state="visible" r:id="rId4"/>
    <sheet name="영양" sheetId="5" state="visible" r:id="rId5"/>
    <sheet name="기준값" sheetId="6" state="visible" r:id="rId6"/>
    <sheet name="진행현황" sheetId="7" state="visible" r:id="rId7"/>
  </sheets>
  <definedNames>
    <definedName name="_xlnm._FilterDatabase" localSheetId="3" hidden="1">'운동목록'!$A$1:$J$87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172A"/>
      <sz val="14"/>
    </font>
    <font>
      <name val="Arial"/>
      <b val="1"/>
      <color rgb="001D4ED8"/>
      <sz val="11"/>
    </font>
    <font>
      <name val="Arial"/>
      <b val="1"/>
      <color rgb="00B45309"/>
      <sz val="10"/>
    </font>
    <font>
      <name val="Arial"/>
      <b val="1"/>
      <sz val="10"/>
    </font>
    <font>
      <name val="Arial"/>
      <b val="1"/>
      <color rgb="001D4ED8"/>
      <sz val="10"/>
    </font>
    <font>
      <name val="Arial"/>
      <color rgb="001D4ED8"/>
      <sz val="9"/>
      <u val="single"/>
    </font>
    <font>
      <name val="Arial"/>
      <color rgb="00B45309"/>
      <sz val="9"/>
    </font>
    <font>
      <name val="Arial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  <xf numFmtId="0" fontId="0" fillId="3" borderId="1" pivotButton="0" quotePrefix="0" xfId="0"/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/>
    </row>
    <row r="2">
      <c r="B2" s="2" t="inlineStr">
        <is>
          <t>리커버핏 Coach 검수표</t>
        </is>
      </c>
    </row>
    <row r="3">
      <c r="B3" s="1" t="inlineStr">
        <is>
          <t>생성일 2026-09-02</t>
        </is>
      </c>
    </row>
    <row r="4">
      <c r="B4" s="1" t="inlineStr"/>
    </row>
    <row r="5">
      <c r="B5" s="3" t="inlineStr">
        <is>
          <t>■ 이 파일은 무엇인가요</t>
        </is>
      </c>
    </row>
    <row r="6">
      <c r="B6" s="1" t="inlineStr">
        <is>
          <t>앱이 사용자에게 내보내는 안전 기준과 운동·영양 내용을 전문가가 확인하기 위한 표입니다.</t>
        </is>
      </c>
    </row>
    <row r="7">
      <c r="B7" s="4" t="inlineStr">
        <is>
          <t>아래 기준들은 아직 임상 근거로 검증된 값이 아닙니다. 기획 단계에서 정한 값입니다.</t>
        </is>
      </c>
    </row>
    <row r="8">
      <c r="B8" s="1" t="inlineStr"/>
    </row>
    <row r="9">
      <c r="B9" s="3" t="inlineStr">
        <is>
          <t>■ 어떻게 표시하나요</t>
        </is>
      </c>
    </row>
    <row r="10">
      <c r="B10" s="1" t="inlineStr">
        <is>
          <t>노란색 칸에만 적으시면 됩니다. 나머지 칸은 그대로 두세요.</t>
        </is>
      </c>
    </row>
    <row r="11">
      <c r="B11" s="1" t="inlineStr">
        <is>
          <t>'판정' 칸을 누르면 O / △ / X 를 고를 수 있습니다. 직접 입력하셔도 됩니다.</t>
        </is>
      </c>
    </row>
    <row r="12">
      <c r="B12" s="1" t="inlineStr"/>
    </row>
    <row r="13">
      <c r="B13" s="5" t="inlineStr">
        <is>
          <t xml:space="preserve">        O  →  이대로 괜찮음</t>
        </is>
      </c>
    </row>
    <row r="14">
      <c r="B14" s="5" t="inlineStr">
        <is>
          <t xml:space="preserve">        △  →  수정 필요 (오른쪽 '의견' 칸에 수정안을 적어 주세요)</t>
        </is>
      </c>
    </row>
    <row r="15">
      <c r="B15" s="5" t="inlineStr">
        <is>
          <t xml:space="preserve">        X  →  빼야 함 / 위험함</t>
        </is>
      </c>
    </row>
    <row r="16">
      <c r="B16" s="1" t="inlineStr"/>
    </row>
    <row r="17">
      <c r="B17" s="3" t="inlineStr">
        <is>
          <t>■ 시트 안내</t>
        </is>
      </c>
    </row>
    <row r="18">
      <c r="B18" s="1" t="inlineStr">
        <is>
          <t xml:space="preserve">  ① 영상후보    유튜브 후보 영상을 보고 앱에 연결할지 고릅니다</t>
        </is>
      </c>
    </row>
    <row r="19">
      <c r="B19" s="1" t="inlineStr">
        <is>
          <t xml:space="preserve">  ② 위험신호    운동을 막는 12개 문항이 적절한지 봅니다</t>
        </is>
      </c>
    </row>
    <row r="20">
      <c r="B20" s="1" t="inlineStr">
        <is>
          <t xml:space="preserve">  ③ 운동목록    운동 86개의 단계 배치와 주의사항을 봅니다</t>
        </is>
      </c>
    </row>
    <row r="21">
      <c r="B21" s="1" t="inlineStr">
        <is>
          <t xml:space="preserve">  ④ 영양        4개 트랙과 탄단지 비율을 봅니다</t>
        </is>
      </c>
    </row>
    <row r="22">
      <c r="B22" s="1" t="inlineStr">
        <is>
          <t xml:space="preserve">  ⑤ 기준값      통증 점수 컷오프 등 숫자 기준을 봅니다</t>
        </is>
      </c>
    </row>
    <row r="23">
      <c r="B23" s="1" t="inlineStr">
        <is>
          <t xml:space="preserve">  ⑥ 진행현황    표시한 개수가 자동으로 세어집니다</t>
        </is>
      </c>
    </row>
    <row r="24">
      <c r="B24" s="1" t="inlineStr"/>
    </row>
    <row r="25">
      <c r="B25" s="3" t="inlineStr">
        <is>
          <t>■ 다 하신 뒤</t>
        </is>
      </c>
    </row>
    <row r="26">
      <c r="B26" s="1" t="inlineStr">
        <is>
          <t>이 파일을 그대로 저장해서 보내 주시면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46" customWidth="1" min="4" max="4"/>
    <col width="46" customWidth="1" min="5" max="5"/>
    <col width="8" customWidth="1" min="6" max="6"/>
    <col width="30" customWidth="1" min="7" max="7"/>
  </cols>
  <sheetData>
    <row r="1">
      <c r="A1" s="6" t="inlineStr">
        <is>
          <t>운동 id</t>
        </is>
      </c>
      <c r="B1" s="6" t="inlineStr">
        <is>
          <t>운동명</t>
        </is>
      </c>
      <c r="C1" s="6" t="inlineStr">
        <is>
          <t>부위 / 단계</t>
        </is>
      </c>
      <c r="D1" s="6" t="inlineStr">
        <is>
          <t>후보 영상 링크</t>
        </is>
      </c>
      <c r="E1" s="6" t="inlineStr">
        <is>
          <t>채널 · 비고</t>
        </is>
      </c>
      <c r="F1" s="6" t="inlineStr">
        <is>
          <t>판정</t>
        </is>
      </c>
      <c r="G1" s="6" t="inlineStr">
        <is>
          <t>의견</t>
        </is>
      </c>
    </row>
    <row r="2" ht="30" customHeight="1">
      <c r="A2" s="7" t="inlineStr">
        <is>
          <t>knee-p1-01</t>
        </is>
      </c>
      <c r="B2" s="7" t="inlineStr">
        <is>
          <t>쿼드셋</t>
        </is>
      </c>
      <c r="C2" s="7" t="inlineStr">
        <is>
          <t>무릎 P1</t>
        </is>
      </c>
      <c r="D2" s="8" t="inlineStr">
        <is>
          <t>https://www.youtube.com/watch?v=d5A5LWDOPE0</t>
        </is>
      </c>
      <c r="E2" s="7" t="inlineStr">
        <is>
          <t>Quad Set | Knee Stability Series · 영어</t>
        </is>
      </c>
      <c r="F2" s="9" t="inlineStr"/>
      <c r="G2" s="10" t="inlineStr"/>
    </row>
    <row r="3" ht="30" customHeight="1">
      <c r="A3" s="7" t="inlineStr">
        <is>
          <t>knee-p1-01</t>
        </is>
      </c>
      <c r="B3" s="7" t="inlineStr">
        <is>
          <t>쿼드셋</t>
        </is>
      </c>
      <c r="C3" s="7" t="inlineStr">
        <is>
          <t>무릎 P1</t>
        </is>
      </c>
      <c r="D3" s="8" t="inlineStr">
        <is>
          <t>https://www.youtube.com/watch?v=5TUK4uT2nnw</t>
        </is>
      </c>
      <c r="E3" s="7" t="inlineStr">
        <is>
          <t>Physical Therapy Exercises · 영어 · 물리치료사</t>
        </is>
      </c>
      <c r="F3" s="9" t="inlineStr"/>
      <c r="G3" s="10" t="inlineStr"/>
    </row>
    <row r="4" ht="30" customHeight="1">
      <c r="A4" s="7" t="inlineStr">
        <is>
          <t>knee-p1-01</t>
        </is>
      </c>
      <c r="B4" s="7" t="inlineStr">
        <is>
          <t>쿼드셋</t>
        </is>
      </c>
      <c r="C4" s="7" t="inlineStr">
        <is>
          <t>무릎 P1</t>
        </is>
      </c>
      <c r="D4" s="8" t="inlineStr">
        <is>
          <t>https://www.youtube.com/watch?v=au62CidApd0</t>
        </is>
      </c>
      <c r="E4" s="7" t="inlineStr">
        <is>
          <t>Ask Doctor Jo · 영어 · 물리치료사</t>
        </is>
      </c>
      <c r="F4" s="9" t="inlineStr"/>
      <c r="G4" s="10" t="inlineStr"/>
    </row>
    <row r="5" ht="30" customHeight="1">
      <c r="A5" s="7" t="inlineStr">
        <is>
          <t>knee-p1-01</t>
        </is>
      </c>
      <c r="B5" s="7" t="inlineStr">
        <is>
          <t>쿼드셋</t>
        </is>
      </c>
      <c r="C5" s="7" t="inlineStr">
        <is>
          <t>무릎 P1</t>
        </is>
      </c>
      <c r="D5" s="8" t="inlineStr">
        <is>
          <t>https://www.youtube.com/watch?v=mzTKLYET6QA</t>
        </is>
      </c>
      <c r="E5" s="7" t="inlineStr">
        <is>
          <t>MedBridge · 영어 · 교육기관</t>
        </is>
      </c>
      <c r="F5" s="9" t="inlineStr"/>
      <c r="G5" s="10" t="inlineStr"/>
    </row>
    <row r="6" ht="30" customHeight="1">
      <c r="A6" s="7" t="inlineStr">
        <is>
          <t>knee-p1-02</t>
        </is>
      </c>
      <c r="B6" s="7" t="inlineStr">
        <is>
          <t>힐슬라이드</t>
        </is>
      </c>
      <c r="C6" s="7" t="inlineStr">
        <is>
          <t>무릎 P1</t>
        </is>
      </c>
      <c r="D6" s="8" t="inlineStr">
        <is>
          <t>https://www.youtube.com/watch?v=t4HVx5NDeHc</t>
        </is>
      </c>
      <c r="E6" s="7" t="inlineStr">
        <is>
          <t>통증 없이 무릎 굽히는 힐 슬라이드 · 한국어</t>
        </is>
      </c>
      <c r="F6" s="9" t="inlineStr"/>
      <c r="G6" s="10" t="inlineStr"/>
    </row>
    <row r="7" ht="30" customHeight="1">
      <c r="A7" s="7" t="inlineStr">
        <is>
          <t>knee-p1-02</t>
        </is>
      </c>
      <c r="B7" s="7" t="inlineStr">
        <is>
          <t>힐슬라이드</t>
        </is>
      </c>
      <c r="C7" s="7" t="inlineStr">
        <is>
          <t>무릎 P1</t>
        </is>
      </c>
      <c r="D7" s="8" t="inlineStr">
        <is>
          <t>https://www.youtube.com/watch?v=m06ilKpj87g</t>
        </is>
      </c>
      <c r="E7" s="7" t="inlineStr">
        <is>
          <t>무릎 전문의 재활운동 · 한국어 · 의사</t>
        </is>
      </c>
      <c r="F7" s="9" t="inlineStr"/>
      <c r="G7" s="10" t="inlineStr"/>
    </row>
    <row r="8" ht="30" customHeight="1">
      <c r="A8" s="7" t="inlineStr">
        <is>
          <t>knee-p1-02</t>
        </is>
      </c>
      <c r="B8" s="7" t="inlineStr">
        <is>
          <t>힐슬라이드</t>
        </is>
      </c>
      <c r="C8" s="7" t="inlineStr">
        <is>
          <t>무릎 P1</t>
        </is>
      </c>
      <c r="D8" s="8" t="inlineStr">
        <is>
          <t>https://www.youtube.com/watch?v=W3_BUipgYU4</t>
        </is>
      </c>
      <c r="E8" s="7" t="inlineStr">
        <is>
          <t>Seated Active Heel Slide · 영어</t>
        </is>
      </c>
      <c r="F8" s="9" t="inlineStr"/>
      <c r="G8" s="10" t="inlineStr"/>
    </row>
    <row r="9" ht="30" customHeight="1">
      <c r="A9" s="7" t="inlineStr">
        <is>
          <t>knee-p1-03</t>
        </is>
      </c>
      <c r="B9" s="7" t="inlineStr">
        <is>
          <t>누워서 다리 들기 (SLR)</t>
        </is>
      </c>
      <c r="C9" s="7" t="inlineStr">
        <is>
          <t>무릎 P1</t>
        </is>
      </c>
      <c r="D9" s="8" t="inlineStr">
        <is>
          <t>https://www.youtube.com/watch?v=WqI8ln0MpjQ</t>
        </is>
      </c>
      <c r="E9" s="7" t="inlineStr">
        <is>
          <t>[무릎 재활 1주차] · 한국어 · 단계별 시리즈</t>
        </is>
      </c>
      <c r="F9" s="9" t="inlineStr"/>
      <c r="G9" s="10" t="inlineStr"/>
    </row>
    <row r="10" ht="30" customHeight="1">
      <c r="A10" s="7" t="inlineStr">
        <is>
          <t>knee-p1-03</t>
        </is>
      </c>
      <c r="B10" s="7" t="inlineStr">
        <is>
          <t>누워서 다리 들기 (SLR)</t>
        </is>
      </c>
      <c r="C10" s="7" t="inlineStr">
        <is>
          <t>무릎 P1</t>
        </is>
      </c>
      <c r="D10" s="8" t="inlineStr">
        <is>
          <t>https://www.youtube.com/watch?v=iwiVVQ22vqw</t>
        </is>
      </c>
      <c r="E10" s="7" t="inlineStr">
        <is>
          <t>누워서 쉽게 따라 할 수 있는 무릎 운동 · 한국어</t>
        </is>
      </c>
      <c r="F10" s="9" t="inlineStr"/>
      <c r="G10" s="10" t="inlineStr"/>
    </row>
    <row r="11" ht="30" customHeight="1">
      <c r="A11" s="7" t="inlineStr">
        <is>
          <t>knee-p1-03</t>
        </is>
      </c>
      <c r="B11" s="7" t="inlineStr">
        <is>
          <t>누워서 다리 들기 (SLR)</t>
        </is>
      </c>
      <c r="C11" s="7" t="inlineStr">
        <is>
          <t>무릎 P1</t>
        </is>
      </c>
      <c r="D11" s="8" t="inlineStr">
        <is>
          <t>https://www.youtube.com/watch?v=tNLINRNEQtM</t>
        </is>
      </c>
      <c r="E11" s="7" t="inlineStr">
        <is>
          <t>무릎 통증을 줄여주는 무릎 운동 · 한국어</t>
        </is>
      </c>
      <c r="F11" s="9" t="inlineStr"/>
      <c r="G11" s="10" t="inlineStr"/>
    </row>
    <row r="12" ht="30" customHeight="1">
      <c r="A12" s="7" t="inlineStr">
        <is>
          <t>back-p1-02</t>
        </is>
      </c>
      <c r="B12" s="7" t="inlineStr">
        <is>
          <t>골반 틸트</t>
        </is>
      </c>
      <c r="C12" s="7" t="inlineStr">
        <is>
          <t>허리 P1</t>
        </is>
      </c>
      <c r="D12" s="8" t="inlineStr">
        <is>
          <t>https://www.youtube.com/watch?v=SaUhRNOjwUg</t>
        </is>
      </c>
      <c r="E12" s="7" t="inlineStr">
        <is>
          <t>골반 후경사 운동(누운자세) · 한국어 · 앱 자세와 가장 가까움</t>
        </is>
      </c>
      <c r="F12" s="9" t="inlineStr"/>
      <c r="G12" s="10" t="inlineStr"/>
    </row>
    <row r="13" ht="30" customHeight="1">
      <c r="A13" s="7" t="inlineStr">
        <is>
          <t>back-p1-02</t>
        </is>
      </c>
      <c r="B13" s="7" t="inlineStr">
        <is>
          <t>골반 틸트</t>
        </is>
      </c>
      <c r="C13" s="7" t="inlineStr">
        <is>
          <t>허리 P1</t>
        </is>
      </c>
      <c r="D13" s="8" t="inlineStr">
        <is>
          <t>https://www.youtube.com/watch?v=HAdd1sP6ruE</t>
        </is>
      </c>
      <c r="E13" s="7" t="inlineStr">
        <is>
          <t>누워서 골반 움직이기 · 한국어</t>
        </is>
      </c>
      <c r="F13" s="9" t="inlineStr"/>
      <c r="G13" s="10" t="inlineStr"/>
    </row>
    <row r="14" ht="30" customHeight="1">
      <c r="A14" s="7" t="inlineStr">
        <is>
          <t>back-p1-02</t>
        </is>
      </c>
      <c r="B14" s="7" t="inlineStr">
        <is>
          <t>골반 틸트</t>
        </is>
      </c>
      <c r="C14" s="7" t="inlineStr">
        <is>
          <t>허리 P1</t>
        </is>
      </c>
      <c r="D14" s="8" t="inlineStr">
        <is>
          <t>https://www.youtube.com/watch?v=4j0vN1WEIyg</t>
        </is>
      </c>
      <c r="E14" s="7" t="inlineStr">
        <is>
          <t>Posterior Pelvic Tilt · 영어 · 환자 교육용</t>
        </is>
      </c>
      <c r="F14" s="9" t="inlineStr"/>
      <c r="G14" s="10" t="inlineStr"/>
    </row>
    <row r="15" ht="30" customHeight="1">
      <c r="A15" s="7" t="inlineStr">
        <is>
          <t>ankle-p1-02</t>
        </is>
      </c>
      <c r="B15" s="7" t="inlineStr">
        <is>
          <t>발목 펌프</t>
        </is>
      </c>
      <c r="C15" s="7" t="inlineStr">
        <is>
          <t>발목 P1</t>
        </is>
      </c>
      <c r="D15" s="8" t="inlineStr">
        <is>
          <t>https://www.youtube.com/watch?v=BrJ67g0NKqE</t>
        </is>
      </c>
      <c r="E15" s="7" t="inlineStr">
        <is>
          <t>삼성서울병원 스포츠의학실 · 한국어 · 병원 제작</t>
        </is>
      </c>
      <c r="F15" s="9" t="inlineStr"/>
      <c r="G15" s="10" t="inlineStr"/>
    </row>
    <row r="16" ht="30" customHeight="1">
      <c r="A16" s="7" t="inlineStr">
        <is>
          <t>ankle-p1-02</t>
        </is>
      </c>
      <c r="B16" s="7" t="inlineStr">
        <is>
          <t>발목 펌프</t>
        </is>
      </c>
      <c r="C16" s="7" t="inlineStr">
        <is>
          <t>발목 P1</t>
        </is>
      </c>
      <c r="D16" s="8" t="inlineStr">
        <is>
          <t>https://www.youtube.com/watch?v=G2Cm-VvaY0w</t>
        </is>
      </c>
      <c r="E16" s="7" t="inlineStr">
        <is>
          <t>[무릎 재활 1주차] 앉아서 발목 펌프 · 한국어</t>
        </is>
      </c>
      <c r="F16" s="9" t="inlineStr"/>
      <c r="G16" s="10" t="inlineStr"/>
    </row>
    <row r="17" ht="30" customHeight="1">
      <c r="A17" s="7" t="inlineStr">
        <is>
          <t>ankle-p1-01</t>
        </is>
      </c>
      <c r="B17" s="7" t="inlineStr">
        <is>
          <t>발목 알파벳 · 종아리 스트레칭</t>
        </is>
      </c>
      <c r="C17" s="7" t="inlineStr">
        <is>
          <t>발목 P1</t>
        </is>
      </c>
      <c r="D17" s="8" t="inlineStr">
        <is>
          <t>https://www.youtube.com/watch?v=u5WF34iRvB4</t>
        </is>
      </c>
      <c r="E17" s="7" t="inlineStr">
        <is>
          <t>서울백병원 발목 염좌 재활 · 한국어 · 병원 제작 · 여러 동작 포함</t>
        </is>
      </c>
      <c r="F17" s="9" t="inlineStr"/>
      <c r="G17" s="10" t="inlineStr"/>
    </row>
    <row r="18" ht="30" customHeight="1">
      <c r="A18" s="7" t="inlineStr">
        <is>
          <t>ankle-p1-01</t>
        </is>
      </c>
      <c r="B18" s="7" t="inlineStr">
        <is>
          <t>발목 알파벳 · 종아리 스트레칭</t>
        </is>
      </c>
      <c r="C18" s="7" t="inlineStr">
        <is>
          <t>발목 P1</t>
        </is>
      </c>
      <c r="D18" s="8" t="inlineStr">
        <is>
          <t>https://www.youtube.com/watch?v=eJqA2gPdgHQ</t>
        </is>
      </c>
      <c r="E18" s="7" t="inlineStr">
        <is>
          <t>현직 물리치료사 단계별 발목 재활 · 한국어 · 여러 동작 포함</t>
        </is>
      </c>
      <c r="F18" s="9" t="inlineStr"/>
      <c r="G18" s="10" t="inlineStr"/>
    </row>
    <row r="19" ht="30" customHeight="1">
      <c r="A19" s="7" t="inlineStr">
        <is>
          <t>ankle-p1-01</t>
        </is>
      </c>
      <c r="B19" s="7" t="inlineStr">
        <is>
          <t>발목 알파벳 · 종아리 스트레칭</t>
        </is>
      </c>
      <c r="C19" s="7" t="inlineStr">
        <is>
          <t>발목 P1</t>
        </is>
      </c>
      <c r="D19" s="8" t="inlineStr">
        <is>
          <t>https://www.youtube.com/watch?v=hE0IsV4e9oE</t>
        </is>
      </c>
      <c r="E19" s="7" t="inlineStr">
        <is>
          <t>발목인대 &amp; 염좌 재활운동 1주차 · 한국어</t>
        </is>
      </c>
      <c r="F19" s="9" t="inlineStr"/>
      <c r="G19" s="10" t="inlineStr"/>
    </row>
    <row r="20" ht="30" customHeight="1">
      <c r="A20" s="7" t="inlineStr">
        <is>
          <t>shoulder-p1-01</t>
        </is>
      </c>
      <c r="B20" s="7" t="inlineStr">
        <is>
          <t>펜듈럼 (진자 운동)</t>
        </is>
      </c>
      <c r="C20" s="7" t="inlineStr">
        <is>
          <t>어깨 P1</t>
        </is>
      </c>
      <c r="D20" s="8" t="inlineStr">
        <is>
          <t>https://www.youtube.com/watch?v=aU3hzceroOk</t>
        </is>
      </c>
      <c r="E20" s="7" t="inlineStr">
        <is>
          <t>코드만 운동 정확히 알고 하기 · 한국어</t>
        </is>
      </c>
      <c r="F20" s="9" t="inlineStr"/>
      <c r="G20" s="10" t="inlineStr"/>
    </row>
    <row r="21" ht="30" customHeight="1">
      <c r="A21" s="7" t="inlineStr">
        <is>
          <t>shoulder-p1-01</t>
        </is>
      </c>
      <c r="B21" s="7" t="inlineStr">
        <is>
          <t>펜듈럼 (진자 운동)</t>
        </is>
      </c>
      <c r="C21" s="7" t="inlineStr">
        <is>
          <t>어깨 P1</t>
        </is>
      </c>
      <c r="D21" s="8" t="inlineStr">
        <is>
          <t>https://www.youtube.com/watch?v=Pl5XLHKNr30</t>
        </is>
      </c>
      <c r="E21" s="7" t="inlineStr">
        <is>
          <t>시계추운동·진자운동·벽타기 · 한국어</t>
        </is>
      </c>
      <c r="F21" s="9" t="inlineStr"/>
      <c r="G21" s="10" t="inlineStr"/>
    </row>
    <row r="22" ht="30" customHeight="1">
      <c r="A22" s="7" t="inlineStr">
        <is>
          <t>shoulder-p1-01</t>
        </is>
      </c>
      <c r="B22" s="7" t="inlineStr">
        <is>
          <t>펜듈럼 (진자 운동)</t>
        </is>
      </c>
      <c r="C22" s="7" t="inlineStr">
        <is>
          <t>어깨 P1</t>
        </is>
      </c>
      <c r="D22" s="8" t="inlineStr">
        <is>
          <t>https://www.youtube.com/watch?v=ICmlLI-rd7g</t>
        </is>
      </c>
      <c r="E22" s="7" t="inlineStr">
        <is>
          <t>물리치료사가 알려주는 어깨 재활 · 한국어 · 물리치료사</t>
        </is>
      </c>
      <c r="F22" s="9" t="inlineStr"/>
      <c r="G22" s="10" t="inlineStr"/>
    </row>
    <row r="23" ht="30" customHeight="1">
      <c r="A23" s="7" t="inlineStr">
        <is>
          <t>shoulder-p1-02</t>
        </is>
      </c>
      <c r="B23" s="7" t="inlineStr">
        <is>
          <t>견갑 세팅</t>
        </is>
      </c>
      <c r="C23" s="7" t="inlineStr">
        <is>
          <t>어깨 P1</t>
        </is>
      </c>
      <c r="D23" s="8" t="inlineStr">
        <is>
          <t>https://www.youtube.com/watch?v=T98_YpZwny0</t>
        </is>
      </c>
      <c r="E23" s="7" t="inlineStr">
        <is>
          <t>견갑골 안정화 운동 · 한국어</t>
        </is>
      </c>
      <c r="F23" s="9" t="inlineStr"/>
      <c r="G23" s="10" t="inlineStr"/>
    </row>
    <row r="24" ht="30" customHeight="1">
      <c r="A24" s="7" t="inlineStr">
        <is>
          <t>shoulder-p1-02</t>
        </is>
      </c>
      <c r="B24" s="7" t="inlineStr">
        <is>
          <t>견갑 세팅</t>
        </is>
      </c>
      <c r="C24" s="7" t="inlineStr">
        <is>
          <t>어깨 P1</t>
        </is>
      </c>
      <c r="D24" s="8" t="inlineStr">
        <is>
          <t>https://www.youtube.com/watch?v=mH4Ipg1DRak</t>
        </is>
      </c>
      <c r="E24" s="7" t="inlineStr">
        <is>
          <t>어깨건강 예방운동: 견갑골 안정화 · 한국어</t>
        </is>
      </c>
      <c r="F24" s="9" t="inlineStr"/>
      <c r="G24" s="10" t="inlineStr"/>
    </row>
    <row r="25" ht="30" customHeight="1">
      <c r="A25" s="7" t="inlineStr">
        <is>
          <t>shoulder-p1-02</t>
        </is>
      </c>
      <c r="B25" s="7" t="inlineStr">
        <is>
          <t>견갑 세팅</t>
        </is>
      </c>
      <c r="C25" s="7" t="inlineStr">
        <is>
          <t>어깨 P1</t>
        </is>
      </c>
      <c r="D25" s="8" t="inlineStr">
        <is>
          <t>https://www.youtube.com/watch?v=LXBNdN5RIIs</t>
        </is>
      </c>
      <c r="E25" s="7" t="inlineStr">
        <is>
          <t>어깨·견갑골 안정화 전거근 운동 · 한국어</t>
        </is>
      </c>
      <c r="F25" s="9" t="inlineStr"/>
      <c r="G25" s="10" t="inlineStr"/>
    </row>
    <row r="26" ht="30" customHeight="1">
      <c r="A26" s="7" t="inlineStr">
        <is>
          <t>neck-p1-01</t>
        </is>
      </c>
      <c r="B26" s="7" t="inlineStr">
        <is>
          <t>턱 당기기 (누워서)</t>
        </is>
      </c>
      <c r="C26" s="7" t="inlineStr">
        <is>
          <t>목 P1</t>
        </is>
      </c>
      <c r="D26" s="8" t="inlineStr">
        <is>
          <t>https://www.youtube.com/watch?v=PaIzpXp33Sc</t>
        </is>
      </c>
      <c r="E26" s="7" t="inlineStr">
        <is>
          <t>⚠ 거북목 2분 교정 올바른 친턱 운동법 · 한국어</t>
        </is>
      </c>
      <c r="F26" s="9" t="inlineStr"/>
      <c r="G26" s="10" t="inlineStr"/>
    </row>
    <row r="27" ht="30" customHeight="1">
      <c r="A27" s="7" t="inlineStr">
        <is>
          <t>neck-p1-01</t>
        </is>
      </c>
      <c r="B27" s="7" t="inlineStr">
        <is>
          <t>턱 당기기 (누워서)</t>
        </is>
      </c>
      <c r="C27" s="7" t="inlineStr">
        <is>
          <t>목 P1</t>
        </is>
      </c>
      <c r="D27" s="8" t="inlineStr">
        <is>
          <t>https://www.youtube.com/watch?v=bEPVu8K53qQ</t>
        </is>
      </c>
      <c r="E27" s="7" t="inlineStr">
        <is>
          <t>⚠ 일반인 99% 잘못하고 있는 턱 당기기 · 한국어 · 흔한 실수</t>
        </is>
      </c>
      <c r="F27" s="9" t="inlineStr"/>
      <c r="G27" s="10" t="inlineStr"/>
    </row>
    <row r="28" ht="30" customHeight="1">
      <c r="A28" s="7" t="inlineStr">
        <is>
          <t>neck-p1-01</t>
        </is>
      </c>
      <c r="B28" s="7" t="inlineStr">
        <is>
          <t>턱 당기기 (누워서)</t>
        </is>
      </c>
      <c r="C28" s="7" t="inlineStr">
        <is>
          <t>목 P1</t>
        </is>
      </c>
      <c r="D28" s="8" t="inlineStr">
        <is>
          <t>https://www.youtube.com/watch?v=scWH5e22WIs</t>
        </is>
      </c>
      <c r="E28" s="7" t="inlineStr">
        <is>
          <t>⚠ 턱 당기기 해야 하나 말아야 하나 · 한국어 · 검수 전 꼭 보세요</t>
        </is>
      </c>
      <c r="F28" s="9" t="inlineStr"/>
      <c r="G28" s="10" t="inlineStr"/>
    </row>
    <row r="29" ht="30" customHeight="1">
      <c r="A29" s="7" t="inlineStr">
        <is>
          <t>neck-p1-01</t>
        </is>
      </c>
      <c r="B29" s="7" t="inlineStr">
        <is>
          <t>턱 당기기 (누워서)</t>
        </is>
      </c>
      <c r="C29" s="7" t="inlineStr">
        <is>
          <t>목 P1</t>
        </is>
      </c>
      <c r="D29" s="8" t="inlineStr">
        <is>
          <t>https://www.youtube.com/watch?v=H0r_ntsH4v4</t>
        </is>
      </c>
      <c r="E29" s="7" t="inlineStr">
        <is>
          <t>⚠ 거북목 교정 턱 당기기 제대로 하는법 · 한국어</t>
        </is>
      </c>
      <c r="F29" s="9" t="inlineStr"/>
      <c r="G29" s="10" t="inlineStr"/>
    </row>
    <row r="31" ht="30" customHeight="1">
      <c r="A31" s="11" t="inlineStr">
        <is>
          <t>⚠ 자세가 정확한지·안전한지 확인하지 않은 후보입니다. 조회수와 댓글 수는 확인하지 못했습니다. ⚠ 표시된 '턱 당기기'는 모두에게 맞는 운동이 아니라는 견해가 있어 특히 주의가 필요합니다.</t>
        </is>
      </c>
    </row>
  </sheetData>
  <mergeCells count="1">
    <mergeCell ref="A31:G31"/>
  </mergeCells>
  <dataValidations count="1">
    <dataValidation sqref="F2:F29" showDropDown="0" showInputMessage="0" showErrorMessage="0" allowBlank="1" promptTitle="판정" prompt="O = 괜찮음 / △ = 수정 필요 / X = 빼야 함" type="list">
      <formula1>"O,△,X"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44" customWidth="1" min="3" max="3"/>
    <col width="8" customWidth="1" min="4" max="4"/>
    <col width="34" customWidth="1" min="5" max="5"/>
  </cols>
  <sheetData>
    <row r="1">
      <c r="A1" s="6" t="inlineStr">
        <is>
          <t>#</t>
        </is>
      </c>
      <c r="B1" s="6" t="inlineStr">
        <is>
          <t>문항</t>
        </is>
      </c>
      <c r="C1" s="6" t="inlineStr">
        <is>
          <t>보조 설명</t>
        </is>
      </c>
      <c r="D1" s="6" t="inlineStr">
        <is>
          <t>판정</t>
        </is>
      </c>
      <c r="E1" s="6" t="inlineStr">
        <is>
          <t>수정 의견</t>
        </is>
      </c>
    </row>
    <row r="2" ht="32" customHeight="1">
      <c r="A2" s="12" t="n">
        <v>1</v>
      </c>
      <c r="B2" s="7" t="inlineStr">
        <is>
          <t>심한 외상 후 통증이 있다</t>
        </is>
      </c>
      <c r="C2" s="7" t="inlineStr">
        <is>
          <t>크게 부딪히거나 넘어진 뒤 생긴 통증</t>
        </is>
      </c>
      <c r="D2" s="9" t="inlineStr"/>
      <c r="E2" s="10" t="inlineStr"/>
    </row>
    <row r="3" ht="32" customHeight="1">
      <c r="A3" s="12" t="n">
        <v>2</v>
      </c>
      <c r="B3" s="7" t="inlineStr">
        <is>
          <t>골절이나 탈구가 의심된다</t>
        </is>
      </c>
      <c r="C3" s="7" t="inlineStr">
        <is>
          <t>뚝 소리가 났거나, 관절이 빠진 느낌이 있었다</t>
        </is>
      </c>
      <c r="D3" s="9" t="inlineStr"/>
      <c r="E3" s="10" t="inlineStr"/>
    </row>
    <row r="4" ht="32" customHeight="1">
      <c r="A4" s="12" t="n">
        <v>3</v>
      </c>
      <c r="B4" s="7" t="inlineStr">
        <is>
          <t>관절 모양이 이상하다</t>
        </is>
      </c>
      <c r="C4" s="7" t="inlineStr">
        <is>
          <t>평소와 다르게 튀어나오거나 휘었다</t>
        </is>
      </c>
      <c r="D4" s="9" t="inlineStr"/>
      <c r="E4" s="10" t="inlineStr"/>
    </row>
    <row r="5" ht="32" customHeight="1">
      <c r="A5" s="12" t="n">
        <v>4</v>
      </c>
      <c r="B5" s="7" t="inlineStr">
        <is>
          <t>체중을 싣기 어렵다</t>
        </is>
      </c>
      <c r="C5" s="7" t="inlineStr">
        <is>
          <t>아픈 다리로 서 있거나 걷기가 거의 안 된다</t>
        </is>
      </c>
      <c r="D5" s="9" t="inlineStr"/>
      <c r="E5" s="10" t="inlineStr"/>
    </row>
    <row r="6" ht="32" customHeight="1">
      <c r="A6" s="12" t="n">
        <v>5</v>
      </c>
      <c r="B6" s="7" t="inlineStr">
        <is>
          <t>심한 붓기나 열감이 있다</t>
        </is>
      </c>
      <c r="C6" s="7" t="inlineStr">
        <is>
          <t>눈에 띄게 붓고 만지면 뜨겁다</t>
        </is>
      </c>
      <c r="D6" s="9" t="inlineStr"/>
      <c r="E6" s="10" t="inlineStr"/>
    </row>
    <row r="7" ht="32" customHeight="1">
      <c r="A7" s="12" t="n">
        <v>6</v>
      </c>
      <c r="B7" s="7" t="inlineStr">
        <is>
          <t>저림, 마비, 감각 이상이 있다</t>
        </is>
      </c>
      <c r="C7" s="7" t="inlineStr">
        <is>
          <t>찌릿하거나 감각이 둔한 부위가 있다</t>
        </is>
      </c>
      <c r="D7" s="9" t="inlineStr"/>
      <c r="E7" s="10" t="inlineStr"/>
    </row>
    <row r="8" ht="32" customHeight="1">
      <c r="A8" s="12" t="n">
        <v>7</v>
      </c>
      <c r="B8" s="7" t="inlineStr">
        <is>
          <t>힘이 빠지는 증상이 있다</t>
        </is>
      </c>
      <c r="C8" s="7" t="inlineStr">
        <is>
          <t>물건을 놓치거나 다리에 힘이 안 들어간다</t>
        </is>
      </c>
      <c r="D8" s="9" t="inlineStr"/>
      <c r="E8" s="10" t="inlineStr"/>
    </row>
    <row r="9" ht="32" customHeight="1">
      <c r="A9" s="12" t="n">
        <v>8</v>
      </c>
      <c r="B9" s="7" t="inlineStr">
        <is>
          <t>허리 통증과 함께 대소변에 이상이 있다</t>
        </is>
      </c>
      <c r="C9" s="7" t="inlineStr">
        <is>
          <t>소변이 잘 안 나오거나 조절이 어렵다</t>
        </is>
      </c>
      <c r="D9" s="9" t="inlineStr"/>
      <c r="E9" s="10" t="inlineStr"/>
    </row>
    <row r="10" ht="32" customHeight="1">
      <c r="A10" s="12" t="n">
        <v>9</v>
      </c>
      <c r="B10" s="7" t="inlineStr">
        <is>
          <t>가슴 통증, 호흡곤란, 실신할 것 같은 느낌이 있었다</t>
        </is>
      </c>
      <c r="C10" s="7" t="inlineStr">
        <is>
          <t>운동 중 또는 평상시 모두 포함</t>
        </is>
      </c>
      <c r="D10" s="9" t="inlineStr"/>
      <c r="E10" s="10" t="inlineStr"/>
    </row>
    <row r="11" ht="32" customHeight="1">
      <c r="A11" s="12" t="n">
        <v>10</v>
      </c>
      <c r="B11" s="7" t="inlineStr">
        <is>
          <t>원인 모를 체중 감소가 있다</t>
        </is>
      </c>
      <c r="C11" s="7" t="inlineStr">
        <is>
          <t>다이어트를 하지 않았는데 체중이 줄었다</t>
        </is>
      </c>
      <c r="D11" s="9" t="inlineStr"/>
      <c r="E11" s="10" t="inlineStr"/>
    </row>
    <row r="12" ht="32" customHeight="1">
      <c r="A12" s="12" t="n">
        <v>11</v>
      </c>
      <c r="B12" s="7" t="inlineStr">
        <is>
          <t>밤에 가만히 있어도 심하게 아프다</t>
        </is>
      </c>
      <c r="C12" s="7" t="inlineStr">
        <is>
          <t>자다가 통증으로 깬다</t>
        </is>
      </c>
      <c r="D12" s="9" t="inlineStr"/>
      <c r="E12" s="10" t="inlineStr"/>
    </row>
    <row r="13" ht="32" customHeight="1">
      <c r="A13" s="12" t="n">
        <v>12</v>
      </c>
      <c r="B13" s="7" t="inlineStr">
        <is>
          <t>수술 직후이거나 의사에게 운동 제한을 안내받았다</t>
        </is>
      </c>
      <c r="C13" s="7" t="inlineStr">
        <is>
          <t>의료진 지시가 항상 우선입니다</t>
        </is>
      </c>
      <c r="D13" s="9" t="inlineStr"/>
      <c r="E13" s="10" t="inlineStr"/>
    </row>
    <row r="15">
      <c r="A15" s="13" t="inlineStr">
        <is>
          <t>규칙: 위 12개 중 하나라도 해당하면 운동 루틴을 제공하지 않고 전문가 상담 안내로 보냅니다. 점수화하지 않고, 대체 운동도 주지 않습니다.</t>
        </is>
      </c>
    </row>
    <row r="16">
      <c r="A16" s="13" t="inlineStr">
        <is>
          <t>여쭙고 싶은 것: 빠진 항목이 있습니까? 빼도 되는 항목이 있습니까? 문구가 일반인에게 오해 없이 전달됩니까?</t>
        </is>
      </c>
    </row>
    <row r="17">
      <c r="A17" s="13" t="inlineStr">
        <is>
          <t>추가로 넣어야 할 항목이 있다면 여기에 적어 주세요 →</t>
        </is>
      </c>
      <c r="E17" s="14" t="n"/>
    </row>
  </sheetData>
  <mergeCells count="3">
    <mergeCell ref="A15:D15"/>
    <mergeCell ref="A17:D17"/>
    <mergeCell ref="A16:D16"/>
  </mergeCells>
  <dataValidations count="1">
    <dataValidation sqref="D2:D13" showDropDown="0" showInputMessage="0" showErrorMessage="0" allowBlank="1" promptTitle="판정" prompt="O = 괜찮음 / △ = 수정 필요 / X = 빼야 함" type="list">
      <formula1>"O,△,X"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6" customWidth="1" min="4" max="4"/>
    <col width="7" customWidth="1" min="5" max="5"/>
    <col width="40" customWidth="1" min="6" max="6"/>
    <col width="60" customWidth="1" min="7" max="7"/>
    <col width="44" customWidth="1" min="8" max="8"/>
    <col width="8" customWidth="1" min="9" max="9"/>
    <col width="28" customWidth="1" min="10" max="10"/>
  </cols>
  <sheetData>
    <row r="1">
      <c r="A1" s="6" t="inlineStr">
        <is>
          <t>운동 id</t>
        </is>
      </c>
      <c r="B1" s="6" t="inlineStr">
        <is>
          <t>운동명</t>
        </is>
      </c>
      <c r="C1" s="6" t="inlineStr">
        <is>
          <t>분류</t>
        </is>
      </c>
      <c r="D1" s="6" t="inlineStr">
        <is>
          <t>단계</t>
        </is>
      </c>
      <c r="E1" s="6" t="inlineStr">
        <is>
          <t>난이도</t>
        </is>
      </c>
      <c r="F1" s="6" t="inlineStr">
        <is>
          <t>목적</t>
        </is>
      </c>
      <c r="G1" s="6" t="inlineStr">
        <is>
          <t>방법</t>
        </is>
      </c>
      <c r="H1" s="6" t="inlineStr">
        <is>
          <t>주의사항</t>
        </is>
      </c>
      <c r="I1" s="6" t="inlineStr">
        <is>
          <t>판정</t>
        </is>
      </c>
      <c r="J1" s="6" t="inlineStr">
        <is>
          <t>의견</t>
        </is>
      </c>
    </row>
    <row r="2" ht="44" customHeight="1">
      <c r="A2" s="7" t="inlineStr">
        <is>
          <t>ankle-p1-01</t>
        </is>
      </c>
      <c r="B2" s="7" t="inlineStr">
        <is>
          <t>발목 알파벳</t>
        </is>
      </c>
      <c r="C2" s="7" t="inlineStr">
        <is>
          <t>발목 회복운동</t>
        </is>
      </c>
      <c r="D2" s="12" t="inlineStr">
        <is>
          <t>P1</t>
        </is>
      </c>
      <c r="E2" s="12" t="inlineStr">
        <is>
          <t>초급</t>
        </is>
      </c>
      <c r="F2" s="7" t="inlineStr">
        <is>
          <t>발목을 여러 방향으로 부드럽게 움직여 굳는 것을 막습니다.</t>
        </is>
      </c>
      <c r="G2" s="7" t="inlineStr">
        <is>
          <t>앉거나 누워서 다리를 폅니다. → 발끝으로 공중에 ㄱ부터 ㅎ까지 글자를 씁니다. → 발목만 움직이고 다리는 고정합니다.</t>
        </is>
      </c>
      <c r="H2" s="7" t="inlineStr"/>
      <c r="I2" s="9" t="inlineStr"/>
      <c r="J2" s="10" t="inlineStr"/>
    </row>
    <row r="3" ht="44" customHeight="1">
      <c r="A3" s="7" t="inlineStr">
        <is>
          <t>ankle-p1-02</t>
        </is>
      </c>
      <c r="B3" s="7" t="inlineStr">
        <is>
          <t>발목 펌프</t>
        </is>
      </c>
      <c r="C3" s="7" t="inlineStr">
        <is>
          <t>발목 회복운동</t>
        </is>
      </c>
      <c r="D3" s="12" t="inlineStr">
        <is>
          <t>P1</t>
        </is>
      </c>
      <c r="E3" s="12" t="inlineStr">
        <is>
          <t>초급</t>
        </is>
      </c>
      <c r="F3" s="7" t="inlineStr">
        <is>
          <t>발목을 위아래로 움직여 부기를 줄이고 순환을 돕습니다.</t>
        </is>
      </c>
      <c r="G3" s="7" t="inlineStr">
        <is>
          <t>다리를 펴고 앉거나 눕습니다. → 발끝을 몸 쪽으로 당겼다가 반대로 밉니다. → 20회 반복합니다.</t>
        </is>
      </c>
      <c r="H3" s="7" t="inlineStr"/>
      <c r="I3" s="9" t="inlineStr"/>
      <c r="J3" s="10" t="inlineStr"/>
    </row>
    <row r="4" ht="44" customHeight="1">
      <c r="A4" s="7" t="inlineStr">
        <is>
          <t>ankle-p1-03</t>
        </is>
      </c>
      <c r="B4" s="7" t="inlineStr">
        <is>
          <t>종아리 스트레칭 (수건)</t>
        </is>
      </c>
      <c r="C4" s="7" t="inlineStr">
        <is>
          <t>발목 회복운동</t>
        </is>
      </c>
      <c r="D4" s="12" t="inlineStr">
        <is>
          <t>P1</t>
        </is>
      </c>
      <c r="E4" s="12" t="inlineStr">
        <is>
          <t>초급</t>
        </is>
      </c>
      <c r="F4" s="7" t="inlineStr">
        <is>
          <t>굳은 종아리를 늘려 발목이 움직일 공간을 만듭니다.</t>
        </is>
      </c>
      <c r="G4" s="7" t="inlineStr">
        <is>
          <t>다리를 펴고 앉습니다. → 수건을 발바닥에 걸고 몸 쪽으로 부드럽게 당깁니다. → 20초 유지합니다.</t>
        </is>
      </c>
      <c r="H4" s="7" t="inlineStr">
        <is>
          <t>발바닥이나 종아리에 찌릿한 통증이 있으면 중단하세요.</t>
        </is>
      </c>
      <c r="I4" s="9" t="inlineStr"/>
      <c r="J4" s="10" t="inlineStr"/>
    </row>
    <row r="5" ht="44" customHeight="1">
      <c r="A5" s="7" t="inlineStr">
        <is>
          <t>ankle-p2-01</t>
        </is>
      </c>
      <c r="B5" s="7" t="inlineStr">
        <is>
          <t>밴드 발목 4방향</t>
        </is>
      </c>
      <c r="C5" s="7" t="inlineStr">
        <is>
          <t>발목 회복운동</t>
        </is>
      </c>
      <c r="D5" s="12" t="inlineStr">
        <is>
          <t>P2</t>
        </is>
      </c>
      <c r="E5" s="12" t="inlineStr">
        <is>
          <t>초급</t>
        </is>
      </c>
      <c r="F5" s="7" t="inlineStr">
        <is>
          <t>발목을 잡아 주는 근육을 네 방향으로 고르게 깨웁니다.</t>
        </is>
      </c>
      <c r="G5" s="7" t="inlineStr">
        <is>
          <t>밴드를 발에 걸고 반대쪽을 고정합니다. → 발끝을 위·아래·안쪽·바깥쪽으로 각각 밀어 냅니다. → 각 방향 12회씩 진행합니다.</t>
        </is>
      </c>
      <c r="H5" s="7" t="inlineStr"/>
      <c r="I5" s="9" t="inlineStr"/>
      <c r="J5" s="10" t="inlineStr"/>
    </row>
    <row r="6" ht="44" customHeight="1">
      <c r="A6" s="7" t="inlineStr">
        <is>
          <t>ankle-p2-02</t>
        </is>
      </c>
      <c r="B6" s="7" t="inlineStr">
        <is>
          <t>양발 카프레이즈</t>
        </is>
      </c>
      <c r="C6" s="7" t="inlineStr">
        <is>
          <t>발목 회복운동</t>
        </is>
      </c>
      <c r="D6" s="12" t="inlineStr">
        <is>
          <t>P2</t>
        </is>
      </c>
      <c r="E6" s="12" t="inlineStr">
        <is>
          <t>초급</t>
        </is>
      </c>
      <c r="F6" s="7" t="inlineStr">
        <is>
          <t>종아리 근력을 되찾아 발목을 안정시킵니다.</t>
        </is>
      </c>
      <c r="G6" s="7" t="inlineStr">
        <is>
          <t>벽이나 의자를 잡고 어깨너비로 섭니다. → 뒤꿈치를 천천히 들어 올립니다. → 2초 유지한 뒤 천천히 내립니다.</t>
        </is>
      </c>
      <c r="H6" s="7" t="inlineStr"/>
      <c r="I6" s="9" t="inlineStr"/>
      <c r="J6" s="10" t="inlineStr"/>
    </row>
    <row r="7" ht="44" customHeight="1">
      <c r="A7" s="7" t="inlineStr">
        <is>
          <t>ankle-p2-03</t>
        </is>
      </c>
      <c r="B7" s="7" t="inlineStr">
        <is>
          <t>균형 서기 (두 발 → 한 발)</t>
        </is>
      </c>
      <c r="C7" s="7" t="inlineStr">
        <is>
          <t>발목 회복운동</t>
        </is>
      </c>
      <c r="D7" s="12" t="inlineStr">
        <is>
          <t>P2</t>
        </is>
      </c>
      <c r="E7" s="12" t="inlineStr">
        <is>
          <t>초급</t>
        </is>
      </c>
      <c r="F7" s="7" t="inlineStr">
        <is>
          <t>발목이 몸의 흔들림을 잡아 주는 감각을 되살립니다.</t>
        </is>
      </c>
      <c r="G7" s="7" t="inlineStr">
        <is>
          <t>벽 옆에 서서 두 발로 균형을 잡습니다. → 익숙해지면 한 발로 20초 서 있습니다. → 반대쪽도 진행합니다.</t>
        </is>
      </c>
      <c r="H7" s="7" t="inlineStr">
        <is>
          <t>휘청거림이 크면 벽 옆에서만 진행하세요.</t>
        </is>
      </c>
      <c r="I7" s="9" t="inlineStr"/>
      <c r="J7" s="10" t="inlineStr"/>
    </row>
    <row r="8" ht="44" customHeight="1">
      <c r="A8" s="7" t="inlineStr">
        <is>
          <t>ankle-p3-01</t>
        </is>
      </c>
      <c r="B8" s="7" t="inlineStr">
        <is>
          <t>한 발 카프레이즈</t>
        </is>
      </c>
      <c r="C8" s="7" t="inlineStr">
        <is>
          <t>발목 회복운동</t>
        </is>
      </c>
      <c r="D8" s="12" t="inlineStr">
        <is>
          <t>P3</t>
        </is>
      </c>
      <c r="E8" s="12" t="inlineStr">
        <is>
          <t>중급</t>
        </is>
      </c>
      <c r="F8" s="7" t="inlineStr">
        <is>
          <t>한 발로 체중을 들어 올리는 종아리 근력을 회복합니다.</t>
        </is>
      </c>
      <c r="G8" s="7" t="inlineStr">
        <is>
          <t>벽을 손끝으로 짚고 한 발로 섭니다. → 뒤꿈치를 천천히 들어 올립니다. → 2초 유지 후 천천히 내립니다.</t>
        </is>
      </c>
      <c r="H8" s="7" t="inlineStr"/>
      <c r="I8" s="9" t="inlineStr"/>
      <c r="J8" s="10" t="inlineStr"/>
    </row>
    <row r="9" ht="44" customHeight="1">
      <c r="A9" s="7" t="inlineStr">
        <is>
          <t>ankle-p3-02</t>
        </is>
      </c>
      <c r="B9" s="7" t="inlineStr">
        <is>
          <t>싱글레그 밸런스 + 리치</t>
        </is>
      </c>
      <c r="C9" s="7" t="inlineStr">
        <is>
          <t>발목 회복운동</t>
        </is>
      </c>
      <c r="D9" s="12" t="inlineStr">
        <is>
          <t>P3</t>
        </is>
      </c>
      <c r="E9" s="12" t="inlineStr">
        <is>
          <t>중급</t>
        </is>
      </c>
      <c r="F9" s="7" t="inlineStr">
        <is>
          <t>한 발로 버티며 균형을 잡는 능력을 끌어올립니다.</t>
        </is>
      </c>
      <c r="G9" s="7" t="inlineStr">
        <is>
          <t>한 발로 섭니다. → 반대쪽 발끝으로 앞·옆·뒤 바닥을 가볍게 터치합니다. → 각 방향 8회씩 진행합니다.</t>
        </is>
      </c>
      <c r="H9" s="7" t="inlineStr"/>
      <c r="I9" s="9" t="inlineStr"/>
      <c r="J9" s="10" t="inlineStr"/>
    </row>
    <row r="10" ht="44" customHeight="1">
      <c r="A10" s="7" t="inlineStr">
        <is>
          <t>ankle-p3-03</t>
        </is>
      </c>
      <c r="B10" s="7" t="inlineStr">
        <is>
          <t>미니 스쿼트 (한 발 지지)</t>
        </is>
      </c>
      <c r="C10" s="7" t="inlineStr">
        <is>
          <t>발목 회복운동</t>
        </is>
      </c>
      <c r="D10" s="12" t="inlineStr">
        <is>
          <t>P3</t>
        </is>
      </c>
      <c r="E10" s="12" t="inlineStr">
        <is>
          <t>중급</t>
        </is>
      </c>
      <c r="F10" s="7" t="inlineStr">
        <is>
          <t>체중을 실은 상태에서 발목이 버티는 힘을 기릅니다.</t>
        </is>
      </c>
      <c r="G10" s="7" t="inlineStr">
        <is>
          <t>한 발로 서서 벽을 손끝으로 짚습니다. → 무릎을 살짝 굽혀 얕게 앉았다 일어납니다. → 10회 반복합니다.</t>
        </is>
      </c>
      <c r="H10" s="7" t="inlineStr"/>
      <c r="I10" s="9" t="inlineStr"/>
      <c r="J10" s="10" t="inlineStr"/>
    </row>
    <row r="11" ht="44" customHeight="1">
      <c r="A11" s="7" t="inlineStr">
        <is>
          <t>ankle-p4-01</t>
        </is>
      </c>
      <c r="B11" s="7" t="inlineStr">
        <is>
          <t>홉 준비 (제자리 작은 점프)</t>
        </is>
      </c>
      <c r="C11" s="7" t="inlineStr">
        <is>
          <t>발목 회복운동</t>
        </is>
      </c>
      <c r="D11" s="12" t="inlineStr">
        <is>
          <t>P4</t>
        </is>
      </c>
      <c r="E11" s="12" t="inlineStr">
        <is>
          <t>중급</t>
        </is>
      </c>
      <c r="F11" s="7" t="inlineStr">
        <is>
          <t>가볍게 뛰고 착지하는 동작에 발목을 다시 적응시킵니다.</t>
        </is>
      </c>
      <c r="G11" s="7" t="inlineStr">
        <is>
          <t>두 발로 제자리에서 아주 낮게 뜁니다. → 발 앞쪽으로 부드럽게 착지합니다. → 10회 반복합니다.</t>
        </is>
      </c>
      <c r="H11" s="7" t="inlineStr">
        <is>
          <t>착지할 때 통증이나 불안정한 느낌이 있으면 중단하세요.</t>
        </is>
      </c>
      <c r="I11" s="9" t="inlineStr"/>
      <c r="J11" s="10" t="inlineStr"/>
    </row>
    <row r="12" ht="44" customHeight="1">
      <c r="A12" s="7" t="inlineStr">
        <is>
          <t>ankle-p4-02</t>
        </is>
      </c>
      <c r="B12" s="7" t="inlineStr">
        <is>
          <t>사이드 스텝</t>
        </is>
      </c>
      <c r="C12" s="7" t="inlineStr">
        <is>
          <t>발목 회복운동</t>
        </is>
      </c>
      <c r="D12" s="12" t="inlineStr">
        <is>
          <t>P4</t>
        </is>
      </c>
      <c r="E12" s="12" t="inlineStr">
        <is>
          <t>중급</t>
        </is>
      </c>
      <c r="F12" s="7" t="inlineStr">
        <is>
          <t>옆으로 움직이는 상황에서 발목을 안정시킵니다.</t>
        </is>
      </c>
      <c r="G12" s="7" t="inlineStr">
        <is>
          <t>무릎을 살짝 굽힌 자세로 섭니다. → 옆으로 10걸음 이동한 뒤 반대로 돌아옵니다.</t>
        </is>
      </c>
      <c r="H12" s="7" t="inlineStr"/>
      <c r="I12" s="9" t="inlineStr"/>
      <c r="J12" s="10" t="inlineStr"/>
    </row>
    <row r="13" ht="44" customHeight="1">
      <c r="A13" s="7" t="inlineStr">
        <is>
          <t>ankle-p4-03</t>
        </is>
      </c>
      <c r="B13" s="7" t="inlineStr">
        <is>
          <t>민첩성 사다리 (라인 스텝)</t>
        </is>
      </c>
      <c r="C13" s="7" t="inlineStr">
        <is>
          <t>발목 회복운동</t>
        </is>
      </c>
      <c r="D13" s="12" t="inlineStr">
        <is>
          <t>P4</t>
        </is>
      </c>
      <c r="E13" s="12" t="inlineStr">
        <is>
          <t>중급</t>
        </is>
      </c>
      <c r="F13" s="7" t="inlineStr">
        <is>
          <t>빠른 발놀림에 발목을 다시 적응시킵니다.</t>
        </is>
      </c>
      <c r="G13" s="7" t="inlineStr">
        <is>
          <t>바닥에 선을 하나 정합니다. → 선을 앞뒤로 넘나들며 가볍게 스텝을 밟습니다. → 20초 진행합니다.</t>
        </is>
      </c>
      <c r="H13" s="7" t="inlineStr">
        <is>
          <t>통증이 생기면 즉시 중단하세요.</t>
        </is>
      </c>
      <c r="I13" s="9" t="inlineStr"/>
      <c r="J13" s="10" t="inlineStr"/>
    </row>
    <row r="14" ht="44" customHeight="1">
      <c r="A14" s="7" t="inlineStr">
        <is>
          <t>back-p1-01</t>
        </is>
      </c>
      <c r="B14" s="7" t="inlineStr">
        <is>
          <t>복식호흡 (누워서)</t>
        </is>
      </c>
      <c r="C14" s="7" t="inlineStr">
        <is>
          <t>허리 회복운동</t>
        </is>
      </c>
      <c r="D14" s="12" t="inlineStr">
        <is>
          <t>P1</t>
        </is>
      </c>
      <c r="E14" s="12" t="inlineStr">
        <is>
          <t>초급</t>
        </is>
      </c>
      <c r="F14" s="7" t="inlineStr">
        <is>
          <t>허리 주변 긴장을 낮추고 배 속 근육을 준비합니다.</t>
        </is>
      </c>
      <c r="G14" s="7" t="inlineStr">
        <is>
          <t>무릎을 세우고 눕습니다. → 한 손은 가슴, 한 손은 배에 둡니다. → 코로 마시며 배를 부풀리고, 입으로 길게 내쉽니다. → 1분간 이어갑니다.</t>
        </is>
      </c>
      <c r="H14" s="7" t="inlineStr"/>
      <c r="I14" s="9" t="inlineStr"/>
      <c r="J14" s="10" t="inlineStr"/>
    </row>
    <row r="15" ht="44" customHeight="1">
      <c r="A15" s="7" t="inlineStr">
        <is>
          <t>back-p1-02</t>
        </is>
      </c>
      <c r="B15" s="7" t="inlineStr">
        <is>
          <t>골반 틸트</t>
        </is>
      </c>
      <c r="C15" s="7" t="inlineStr">
        <is>
          <t>허리 회복운동</t>
        </is>
      </c>
      <c r="D15" s="12" t="inlineStr">
        <is>
          <t>P1</t>
        </is>
      </c>
      <c r="E15" s="12" t="inlineStr">
        <is>
          <t>초급</t>
        </is>
      </c>
      <c r="F15" s="7" t="inlineStr">
        <is>
          <t>허리를 아주 작은 범위로 움직여 뻣뻣함을 풉니다.</t>
        </is>
      </c>
      <c r="G15" s="7" t="inlineStr">
        <is>
          <t>무릎을 세우고 눕습니다. → 허리와 바닥 사이 틈을 없애듯 골반을 말아 넣습니다. → 3초 유지한 뒤 천천히 풉니다.</t>
        </is>
      </c>
      <c r="H15" s="7" t="inlineStr">
        <is>
          <t>통증이 늘면 범위를 더 줄이세요.</t>
        </is>
      </c>
      <c r="I15" s="9" t="inlineStr"/>
      <c r="J15" s="10" t="inlineStr"/>
    </row>
    <row r="16" ht="44" customHeight="1">
      <c r="A16" s="7" t="inlineStr">
        <is>
          <t>back-p1-03</t>
        </is>
      </c>
      <c r="B16" s="7" t="inlineStr">
        <is>
          <t>무릎 당기기</t>
        </is>
      </c>
      <c r="C16" s="7" t="inlineStr">
        <is>
          <t>허리 회복운동</t>
        </is>
      </c>
      <c r="D16" s="12" t="inlineStr">
        <is>
          <t>P1</t>
        </is>
      </c>
      <c r="E16" s="12" t="inlineStr">
        <is>
          <t>초급</t>
        </is>
      </c>
      <c r="F16" s="7" t="inlineStr">
        <is>
          <t>허리 뒤쪽을 부드럽게 늘려 뻣뻣함을 줄입니다.</t>
        </is>
      </c>
      <c r="G16" s="7" t="inlineStr">
        <is>
          <t>천장을 보고 눕습니다. → 한쪽 무릎을 두 손으로 잡아 가슴 쪽으로 당깁니다. → 20초 유지한 뒤 바꿉니다.</t>
        </is>
      </c>
      <c r="H16" s="7" t="inlineStr"/>
      <c r="I16" s="9" t="inlineStr"/>
      <c r="J16" s="10" t="inlineStr"/>
    </row>
    <row r="17" ht="44" customHeight="1">
      <c r="A17" s="7" t="inlineStr">
        <is>
          <t>back-p2-01</t>
        </is>
      </c>
      <c r="B17" s="7" t="inlineStr">
        <is>
          <t>데드버그</t>
        </is>
      </c>
      <c r="C17" s="7" t="inlineStr">
        <is>
          <t>허리 회복운동</t>
        </is>
      </c>
      <c r="D17" s="12" t="inlineStr">
        <is>
          <t>P2</t>
        </is>
      </c>
      <c r="E17" s="12" t="inlineStr">
        <is>
          <t>초급</t>
        </is>
      </c>
      <c r="F17" s="7" t="inlineStr">
        <is>
          <t>허리를 고정한 채 팔다리를 움직이는 안정성을 기릅니다.</t>
        </is>
      </c>
      <c r="G17" s="7" t="inlineStr">
        <is>
          <t>누워서 무릎과 고관절을 90도로 듭니다. → 양팔을 천장으로 뻗습니다. → 숨을 내쉬며 한쪽 팔과 반대쪽 다리를 뻗습니다. → 허리가 뜨지 않는 범위까지만 진행합니다.</t>
        </is>
      </c>
      <c r="H17" s="7" t="inlineStr">
        <is>
          <t>허리 통증이 생기면 팔만 또는 다리만 진행하세요.</t>
        </is>
      </c>
      <c r="I17" s="9" t="inlineStr"/>
      <c r="J17" s="10" t="inlineStr"/>
    </row>
    <row r="18" ht="44" customHeight="1">
      <c r="A18" s="7" t="inlineStr">
        <is>
          <t>back-p2-02</t>
        </is>
      </c>
      <c r="B18" s="7" t="inlineStr">
        <is>
          <t>버드독</t>
        </is>
      </c>
      <c r="C18" s="7" t="inlineStr">
        <is>
          <t>허리 회복운동</t>
        </is>
      </c>
      <c r="D18" s="12" t="inlineStr">
        <is>
          <t>P2</t>
        </is>
      </c>
      <c r="E18" s="12" t="inlineStr">
        <is>
          <t>초급</t>
        </is>
      </c>
      <c r="F18" s="7" t="inlineStr">
        <is>
          <t>허리를 흔들지 않고 팔다리를 뻗는 힘을 기릅니다.</t>
        </is>
      </c>
      <c r="G18" s="7" t="inlineStr">
        <is>
          <t>네 발로 엎드립니다. → 한쪽 팔과 반대쪽 다리를 바닥과 나란히 뻗습니다. → 3초 유지한 뒤 천천히 내립니다.</t>
        </is>
      </c>
      <c r="H18" s="7" t="inlineStr"/>
      <c r="I18" s="9" t="inlineStr"/>
      <c r="J18" s="10" t="inlineStr"/>
    </row>
    <row r="19" ht="44" customHeight="1">
      <c r="A19" s="7" t="inlineStr">
        <is>
          <t>back-p2-03</t>
        </is>
      </c>
      <c r="B19" s="7" t="inlineStr">
        <is>
          <t>사이드 플랭크 (무릎 대고)</t>
        </is>
      </c>
      <c r="C19" s="7" t="inlineStr">
        <is>
          <t>허리 회복운동</t>
        </is>
      </c>
      <c r="D19" s="12" t="inlineStr">
        <is>
          <t>P2</t>
        </is>
      </c>
      <c r="E19" s="12" t="inlineStr">
        <is>
          <t>초급</t>
        </is>
      </c>
      <c r="F19" s="7" t="inlineStr">
        <is>
          <t>허리 옆쪽을 잡아 주는 근육을 깨웁니다.</t>
        </is>
      </c>
      <c r="G19" s="7" t="inlineStr">
        <is>
          <t>옆으로 누워 팔꿈치를 어깨 아래에 둡니다. → 무릎을 굽힌 채 골반을 들어 올립니다. → 어깨-골반-무릎이 한 줄이 되게 20초 버팁니다.</t>
        </is>
      </c>
      <c r="H19" s="7" t="inlineStr">
        <is>
          <t>어깨에 통증이 있으면 중단하세요.</t>
        </is>
      </c>
      <c r="I19" s="9" t="inlineStr"/>
      <c r="J19" s="10" t="inlineStr"/>
    </row>
    <row r="20" ht="44" customHeight="1">
      <c r="A20" s="7" t="inlineStr">
        <is>
          <t>back-p3-01</t>
        </is>
      </c>
      <c r="B20" s="7" t="inlineStr">
        <is>
          <t>힙힌지</t>
        </is>
      </c>
      <c r="C20" s="7" t="inlineStr">
        <is>
          <t>허리 회복운동</t>
        </is>
      </c>
      <c r="D20" s="12" t="inlineStr">
        <is>
          <t>P3</t>
        </is>
      </c>
      <c r="E20" s="12" t="inlineStr">
        <is>
          <t>중급</t>
        </is>
      </c>
      <c r="F20" s="7" t="inlineStr">
        <is>
          <t>허리 대신 고관절로 숙이는 힘을 되찾습니다.</t>
        </is>
      </c>
      <c r="G20" s="7" t="inlineStr">
        <is>
          <t>어깨너비로 서서 무릎을 살짝 굽힙니다. → 엉덩이를 뒤로 밀며 상체를 숙입니다. → 햄스트링이 당기는 지점에서 멈추고 돌아옵니다.</t>
        </is>
      </c>
      <c r="H20" s="7" t="inlineStr"/>
      <c r="I20" s="9" t="inlineStr"/>
      <c r="J20" s="10" t="inlineStr"/>
    </row>
    <row r="21" ht="44" customHeight="1">
      <c r="A21" s="7" t="inlineStr">
        <is>
          <t>back-p3-02</t>
        </is>
      </c>
      <c r="B21" s="7" t="inlineStr">
        <is>
          <t>박스 스쿼트</t>
        </is>
      </c>
      <c r="C21" s="7" t="inlineStr">
        <is>
          <t>허리 회복운동</t>
        </is>
      </c>
      <c r="D21" s="12" t="inlineStr">
        <is>
          <t>P3</t>
        </is>
      </c>
      <c r="E21" s="12" t="inlineStr">
        <is>
          <t>중급</t>
        </is>
      </c>
      <c r="F21" s="7" t="inlineStr">
        <is>
          <t>허리에 부담이 적은 형태로 앉고 서는 힘을 회복합니다.</t>
        </is>
      </c>
      <c r="G21" s="7" t="inlineStr">
        <is>
          <t>의자를 뒤에 두고 어깨너비로 섭니다. → 엉덩이를 뒤로 빼며 천천히 앉습니다. → 의자에 닿으면 바로 일어납니다.</t>
        </is>
      </c>
      <c r="H21" s="7" t="inlineStr"/>
      <c r="I21" s="9" t="inlineStr"/>
      <c r="J21" s="10" t="inlineStr"/>
    </row>
    <row r="22" ht="44" customHeight="1">
      <c r="A22" s="7" t="inlineStr">
        <is>
          <t>back-p3-03</t>
        </is>
      </c>
      <c r="B22" s="7" t="inlineStr">
        <is>
          <t>팔로프 프레스</t>
        </is>
      </c>
      <c r="C22" s="7" t="inlineStr">
        <is>
          <t>허리 회복운동</t>
        </is>
      </c>
      <c r="D22" s="12" t="inlineStr">
        <is>
          <t>P3</t>
        </is>
      </c>
      <c r="E22" s="12" t="inlineStr">
        <is>
          <t>중급</t>
        </is>
      </c>
      <c r="F22" s="7" t="inlineStr">
        <is>
          <t>몸통이 돌아가지 않게 버티는 힘을 기릅니다.</t>
        </is>
      </c>
      <c r="G22" s="7" t="inlineStr">
        <is>
          <t>밴드를 옆쪽에 고정하고 가슴 앞에 양손으로 잡습니다. → 몸통이 돌아가지 않게 버티며 팔을 앞으로 뻗습니다. → 천천히 가슴으로 돌아옵니다.</t>
        </is>
      </c>
      <c r="H22" s="7" t="inlineStr"/>
      <c r="I22" s="9" t="inlineStr"/>
      <c r="J22" s="10" t="inlineStr"/>
    </row>
    <row r="23" ht="44" customHeight="1">
      <c r="A23" s="7" t="inlineStr">
        <is>
          <t>back-p4-01</t>
        </is>
      </c>
      <c r="B23" s="7" t="inlineStr">
        <is>
          <t>파머스 캐리</t>
        </is>
      </c>
      <c r="C23" s="7" t="inlineStr">
        <is>
          <t>허리 회복운동</t>
        </is>
      </c>
      <c r="D23" s="12" t="inlineStr">
        <is>
          <t>P4</t>
        </is>
      </c>
      <c r="E23" s="12" t="inlineStr">
        <is>
          <t>중급</t>
        </is>
      </c>
      <c r="F23" s="7" t="inlineStr">
        <is>
          <t>물건을 들고 걷는 일상 동작에 다시 익숙해집니다.</t>
        </is>
      </c>
      <c r="G23" s="7" t="inlineStr">
        <is>
          <t>양손에 덤벨을 들고 바르게 섭니다. → 어깨를 편 채 30초 동안 천천히 걷습니다.</t>
        </is>
      </c>
      <c r="H23" s="7" t="inlineStr">
        <is>
          <t>허리에 통증이 오면 즉시 내려놓으세요.</t>
        </is>
      </c>
      <c r="I23" s="9" t="inlineStr"/>
      <c r="J23" s="10" t="inlineStr"/>
    </row>
    <row r="24" ht="44" customHeight="1">
      <c r="A24" s="7" t="inlineStr">
        <is>
          <t>back-p4-02</t>
        </is>
      </c>
      <c r="B24" s="7" t="inlineStr">
        <is>
          <t>리버스 런지</t>
        </is>
      </c>
      <c r="C24" s="7" t="inlineStr">
        <is>
          <t>허리 회복운동</t>
        </is>
      </c>
      <c r="D24" s="12" t="inlineStr">
        <is>
          <t>P4</t>
        </is>
      </c>
      <c r="E24" s="12" t="inlineStr">
        <is>
          <t>중급</t>
        </is>
      </c>
      <c r="F24" s="7" t="inlineStr">
        <is>
          <t>한 다리로 버티며 허리를 안정시키는 능력을 회복합니다.</t>
        </is>
      </c>
      <c r="G24" s="7" t="inlineStr">
        <is>
          <t>바르게 섭니다. → 한 발을 뒤로 크게 내딛으며 앞무릎을 굽힙니다. → 앞발로 바닥을 밀며 돌아옵니다.</t>
        </is>
      </c>
      <c r="H24" s="7" t="inlineStr"/>
      <c r="I24" s="9" t="inlineStr"/>
      <c r="J24" s="10" t="inlineStr"/>
    </row>
    <row r="25" ht="44" customHeight="1">
      <c r="A25" s="7" t="inlineStr">
        <is>
          <t>back-p4-03</t>
        </is>
      </c>
      <c r="B25" s="7" t="inlineStr">
        <is>
          <t>루마니안 데드리프트 (가벼운 무게)</t>
        </is>
      </c>
      <c r="C25" s="7" t="inlineStr">
        <is>
          <t>허리 회복운동</t>
        </is>
      </c>
      <c r="D25" s="12" t="inlineStr">
        <is>
          <t>P4</t>
        </is>
      </c>
      <c r="E25" s="12" t="inlineStr">
        <is>
          <t>중급</t>
        </is>
      </c>
      <c r="F25" s="7" t="inlineStr">
        <is>
          <t>숙였다 일어나는 동작의 힘을 실제 무게로 회복합니다.</t>
        </is>
      </c>
      <c r="G25" s="7" t="inlineStr">
        <is>
          <t>가벼운 덤벨을 허벅지 앞에 들고 섭니다. → 무릎을 살짝 굽힌 채 엉덩이를 뒤로 밀며 내립니다. → 햄스트링이 당기는 지점에서 엉덩이 힘으로 일어납니다.</t>
        </is>
      </c>
      <c r="H25" s="7" t="inlineStr">
        <is>
          <t>허리에 통증이 생기면 무게를 빼고 힙힌지로 돌아가세요.</t>
        </is>
      </c>
      <c r="I25" s="9" t="inlineStr"/>
      <c r="J25" s="10" t="inlineStr"/>
    </row>
    <row r="26" ht="44" customHeight="1">
      <c r="A26" s="7" t="inlineStr">
        <is>
          <t>warmup-01</t>
        </is>
      </c>
      <c r="B26" s="7" t="inlineStr">
        <is>
          <t>목·어깨 돌리기</t>
        </is>
      </c>
      <c r="C26" s="7" t="inlineStr">
        <is>
          <t>동적웜업</t>
        </is>
      </c>
      <c r="D26" s="12" t="inlineStr">
        <is>
          <t>-</t>
        </is>
      </c>
      <c r="E26" s="12" t="inlineStr">
        <is>
          <t>초급</t>
        </is>
      </c>
      <c r="F26" s="7" t="inlineStr">
        <is>
          <t>상체를 부드럽게 깨워 본운동을 준비합니다.</t>
        </is>
      </c>
      <c r="G26" s="7" t="inlineStr">
        <is>
          <t>어깨너비로 섭니다. → 어깨를 뒤로 크게 10회 돌립니다. → 고개를 좌우로 천천히 각 5회 돌립니다.</t>
        </is>
      </c>
      <c r="H26" s="7" t="inlineStr">
        <is>
          <t>어지럽거나 팔이 저리면 목 동작을 빼고 진행하세요.</t>
        </is>
      </c>
      <c r="I26" s="9" t="inlineStr"/>
      <c r="J26" s="10" t="inlineStr"/>
    </row>
    <row r="27" ht="44" customHeight="1">
      <c r="A27" s="7" t="inlineStr">
        <is>
          <t>warmup-02</t>
        </is>
      </c>
      <c r="B27" s="7" t="inlineStr">
        <is>
          <t>캣카우</t>
        </is>
      </c>
      <c r="C27" s="7" t="inlineStr">
        <is>
          <t>동적웜업</t>
        </is>
      </c>
      <c r="D27" s="12" t="inlineStr">
        <is>
          <t>-</t>
        </is>
      </c>
      <c r="E27" s="12" t="inlineStr">
        <is>
          <t>초급</t>
        </is>
      </c>
      <c r="F27" s="7" t="inlineStr">
        <is>
          <t>척추를 마디마디 움직여 허리와 등을 준비합니다.</t>
        </is>
      </c>
      <c r="G27" s="7" t="inlineStr">
        <is>
          <t>네 발로 엎드립니다. 손은 어깨 아래, 무릎은 골반 아래에 둡니다. → 숨을 내쉬며 등을 둥글게 말아 올립니다. → 숨을 마시며 가슴을 열고 등을 부드럽게 내립니다.</t>
        </is>
      </c>
      <c r="H27" s="7" t="inlineStr">
        <is>
          <t>손목이 아프면 주먹을 쥐거나 매트를 접어 받치세요.</t>
        </is>
      </c>
      <c r="I27" s="9" t="inlineStr"/>
      <c r="J27" s="10" t="inlineStr"/>
    </row>
    <row r="28" ht="44" customHeight="1">
      <c r="A28" s="7" t="inlineStr">
        <is>
          <t>warmup-03</t>
        </is>
      </c>
      <c r="B28" s="7" t="inlineStr">
        <is>
          <t>월드 그레이티스트 스트레치</t>
        </is>
      </c>
      <c r="C28" s="7" t="inlineStr">
        <is>
          <t>동적웜업</t>
        </is>
      </c>
      <c r="D28" s="12" t="inlineStr">
        <is>
          <t>-</t>
        </is>
      </c>
      <c r="E28" s="12" t="inlineStr">
        <is>
          <t>중급</t>
        </is>
      </c>
      <c r="F28" s="7" t="inlineStr">
        <is>
          <t>고관절과 등을 한 번에 열어 주는 종합 웜업 동작입니다.</t>
        </is>
      </c>
      <c r="G28" s="7" t="inlineStr">
        <is>
          <t>런지 자세로 한 발을 크게 앞으로 내딛습니다. → 양손을 앞발 안쪽 바닥에 놓습니다. → 앞발 쪽 팔을 하늘로 크게 열어 올리며 몸통을 돌립니다. → 시선은 손끝을 따라갑니다.</t>
        </is>
      </c>
      <c r="H28" s="7" t="inlineStr">
        <is>
          <t>무릎이나 허리에 통증이 있으면 범위를 줄이거나 빼세요.</t>
        </is>
      </c>
      <c r="I28" s="9" t="inlineStr"/>
      <c r="J28" s="10" t="inlineStr"/>
    </row>
    <row r="29" ht="44" customHeight="1">
      <c r="A29" s="7" t="inlineStr">
        <is>
          <t>warmup-04</t>
        </is>
      </c>
      <c r="B29" s="7" t="inlineStr">
        <is>
          <t>레그스윙</t>
        </is>
      </c>
      <c r="C29" s="7" t="inlineStr">
        <is>
          <t>동적웜업</t>
        </is>
      </c>
      <c r="D29" s="12" t="inlineStr">
        <is>
          <t>-</t>
        </is>
      </c>
      <c r="E29" s="12" t="inlineStr">
        <is>
          <t>초급</t>
        </is>
      </c>
      <c r="F29" s="7" t="inlineStr">
        <is>
          <t>고관절과 햄스트링의 움직임 범위를 넓힙니다.</t>
        </is>
      </c>
      <c r="G29" s="7" t="inlineStr">
        <is>
          <t>벽이나 기둥을 한 손으로 잡습니다. → 한쪽 다리를 앞뒤로 편하게 흔듭니다. → 좌우 방향으로도 같은 횟수만큼 흔듭니다.</t>
        </is>
      </c>
      <c r="H29" s="7" t="inlineStr">
        <is>
          <t>고관절 앞쪽에 찝히는 느낌이 있으면 범위를 줄이세요.</t>
        </is>
      </c>
      <c r="I29" s="9" t="inlineStr"/>
      <c r="J29" s="10" t="inlineStr"/>
    </row>
    <row r="30" ht="44" customHeight="1">
      <c r="A30" s="7" t="inlineStr">
        <is>
          <t>warmup-05</t>
        </is>
      </c>
      <c r="B30" s="7" t="inlineStr">
        <is>
          <t>인치웜</t>
        </is>
      </c>
      <c r="C30" s="7" t="inlineStr">
        <is>
          <t>동적웜업</t>
        </is>
      </c>
      <c r="D30" s="12" t="inlineStr">
        <is>
          <t>-</t>
        </is>
      </c>
      <c r="E30" s="12" t="inlineStr">
        <is>
          <t>중급</t>
        </is>
      </c>
      <c r="F30" s="7" t="inlineStr">
        <is>
          <t>어깨와 코어를 함께 깨우고 뒤쪽 사슬을 늘립니다.</t>
        </is>
      </c>
      <c r="G30" s="7" t="inlineStr">
        <is>
          <t>선 자세에서 상체를 숙여 손을 바닥에 짚습니다. → 손으로 걸어 나가 플랭크 자세를 만듭니다. → 잠시 버틴 뒤 발을 손 쪽으로 걸어 돌아옵니다.</t>
        </is>
      </c>
      <c r="H30" s="7" t="inlineStr">
        <is>
          <t>손목이나 어깨가 아프면 중단하세요.</t>
        </is>
      </c>
      <c r="I30" s="9" t="inlineStr"/>
      <c r="J30" s="10" t="inlineStr"/>
    </row>
    <row r="31" ht="44" customHeight="1">
      <c r="A31" s="7" t="inlineStr">
        <is>
          <t>warmup-06</t>
        </is>
      </c>
      <c r="B31" s="7" t="inlineStr">
        <is>
          <t>사이드 런지</t>
        </is>
      </c>
      <c r="C31" s="7" t="inlineStr">
        <is>
          <t>동적웜업</t>
        </is>
      </c>
      <c r="D31" s="12" t="inlineStr">
        <is>
          <t>-</t>
        </is>
      </c>
      <c r="E31" s="12" t="inlineStr">
        <is>
          <t>초급</t>
        </is>
      </c>
      <c r="F31" s="7" t="inlineStr">
        <is>
          <t>옆으로 움직이는 방향의 고관절과 내전근을 준비합니다.</t>
        </is>
      </c>
      <c r="G31" s="7" t="inlineStr">
        <is>
          <t>다리를 넓게 벌리고 섭니다. → 한쪽으로 체중을 옮기며 그쪽 무릎을 굽힙니다. → 반대쪽 다리는 편 상태를 유지합니다. → 가운데로 돌아와 반대쪽을 진행합니다.</t>
        </is>
      </c>
      <c r="H31" s="7" t="inlineStr">
        <is>
          <t>무릎 안쪽에 통증이 있으면 범위를 줄이세요.</t>
        </is>
      </c>
      <c r="I31" s="9" t="inlineStr"/>
      <c r="J31" s="10" t="inlineStr"/>
    </row>
    <row r="32" ht="44" customHeight="1">
      <c r="A32" s="7" t="inlineStr">
        <is>
          <t>warmup-07</t>
        </is>
      </c>
      <c r="B32" s="7" t="inlineStr">
        <is>
          <t>스킵 (제자리)</t>
        </is>
      </c>
      <c r="C32" s="7" t="inlineStr">
        <is>
          <t>동적웜업</t>
        </is>
      </c>
      <c r="D32" s="12" t="inlineStr">
        <is>
          <t>-</t>
        </is>
      </c>
      <c r="E32" s="12" t="inlineStr">
        <is>
          <t>초급</t>
        </is>
      </c>
      <c r="F32" s="7" t="inlineStr">
        <is>
          <t>심박수를 올려 몸을 데웁니다.</t>
        </is>
      </c>
      <c r="G32" s="7" t="inlineStr">
        <is>
          <t>제자리에서 한 발씩 가볍게 뛰며 무릎을 들어 올립니다. → 팔은 자연스럽게 흔듭니다. → 30초 동안 이어갑니다.</t>
        </is>
      </c>
      <c r="H32" s="7" t="inlineStr">
        <is>
          <t>무릎이나 발목에 통증이 있으면 제자리 걷기로 바꾸세요.</t>
        </is>
      </c>
      <c r="I32" s="9" t="inlineStr"/>
      <c r="J32" s="10" t="inlineStr"/>
    </row>
    <row r="33" ht="44" customHeight="1">
      <c r="A33" s="7" t="inlineStr">
        <is>
          <t>warmup-08</t>
        </is>
      </c>
      <c r="B33" s="7" t="inlineStr">
        <is>
          <t>버트킥 (제자리)</t>
        </is>
      </c>
      <c r="C33" s="7" t="inlineStr">
        <is>
          <t>동적웜업</t>
        </is>
      </c>
      <c r="D33" s="12" t="inlineStr">
        <is>
          <t>-</t>
        </is>
      </c>
      <c r="E33" s="12" t="inlineStr">
        <is>
          <t>초급</t>
        </is>
      </c>
      <c r="F33" s="7" t="inlineStr">
        <is>
          <t>허벅지 뒤쪽을 깨우고 심박수를 유지합니다.</t>
        </is>
      </c>
      <c r="G33" s="7" t="inlineStr">
        <is>
          <t>제자리에서 가볍게 뛰며 발뒤꿈치를 엉덩이 쪽으로 찹니다. → 상체는 세운 상태를 유지합니다. → 30초 동안 이어갑니다.</t>
        </is>
      </c>
      <c r="H33" s="7" t="inlineStr">
        <is>
          <t>햄스트링에 당기는 통증이 있으면 중단하세요.</t>
        </is>
      </c>
      <c r="I33" s="9" t="inlineStr"/>
      <c r="J33" s="10" t="inlineStr"/>
    </row>
    <row r="34" ht="44" customHeight="1">
      <c r="A34" s="7" t="inlineStr">
        <is>
          <t>func-01</t>
        </is>
      </c>
      <c r="B34" s="7" t="inlineStr">
        <is>
          <t>박스 스쿼트</t>
        </is>
      </c>
      <c r="C34" s="7" t="inlineStr">
        <is>
          <t>기능성 운동</t>
        </is>
      </c>
      <c r="D34" s="12" t="inlineStr">
        <is>
          <t>-</t>
        </is>
      </c>
      <c r="E34" s="12" t="inlineStr">
        <is>
          <t>초급</t>
        </is>
      </c>
      <c r="F34" s="7" t="inlineStr">
        <is>
          <t>의자를 기준으로 안전하게 앉는 깊이를 익힙니다.</t>
        </is>
      </c>
      <c r="G34" s="7" t="inlineStr">
        <is>
          <t>의자를 뒤에 두고 어깨너비로 섭니다. → 엉덩이를 뒤로 빼며 천천히 앉습니다. → 의자에 살짝 닿으면 바로 일어납니다.</t>
        </is>
      </c>
      <c r="H34" s="7" t="inlineStr">
        <is>
          <t>무릎 앞쪽에 통증이 생기면 앉는 깊이를 줄이세요.</t>
        </is>
      </c>
      <c r="I34" s="9" t="inlineStr"/>
      <c r="J34" s="10" t="inlineStr"/>
    </row>
    <row r="35" ht="44" customHeight="1">
      <c r="A35" s="7" t="inlineStr">
        <is>
          <t>func-02</t>
        </is>
      </c>
      <c r="B35" s="7" t="inlineStr">
        <is>
          <t>고블렛 스쿼트</t>
        </is>
      </c>
      <c r="C35" s="7" t="inlineStr">
        <is>
          <t>기능성 운동</t>
        </is>
      </c>
      <c r="D35" s="12" t="inlineStr">
        <is>
          <t>-</t>
        </is>
      </c>
      <c r="E35" s="12" t="inlineStr">
        <is>
          <t>중급</t>
        </is>
      </c>
      <c r="F35" s="7" t="inlineStr">
        <is>
          <t>앞쪽에 무게를 들어 자세를 세운 채 앉는 힘을 기릅니다.</t>
        </is>
      </c>
      <c r="G35" s="7" t="inlineStr">
        <is>
          <t>덤벨을 가슴 앞에 세워 잡습니다. → 어깨너비로 서서 엉덩이를 뒤로 빼며 앉습니다. → 허벅지가 바닥과 가까워지는 지점까지 앉았다 일어납니다.</t>
        </is>
      </c>
      <c r="H35" s="7" t="inlineStr">
        <is>
          <t>허리나 무릎에 통증이 있으면 맨몸 스쿼트로 바꾸세요.</t>
        </is>
      </c>
      <c r="I35" s="9" t="inlineStr"/>
      <c r="J35" s="10" t="inlineStr"/>
    </row>
    <row r="36" ht="44" customHeight="1">
      <c r="A36" s="7" t="inlineStr">
        <is>
          <t>func-03</t>
        </is>
      </c>
      <c r="B36" s="7" t="inlineStr">
        <is>
          <t>힙힌지 (막대 이용)</t>
        </is>
      </c>
      <c r="C36" s="7" t="inlineStr">
        <is>
          <t>기능성 운동</t>
        </is>
      </c>
      <c r="D36" s="12" t="inlineStr">
        <is>
          <t>-</t>
        </is>
      </c>
      <c r="E36" s="12" t="inlineStr">
        <is>
          <t>초급</t>
        </is>
      </c>
      <c r="F36" s="7" t="inlineStr">
        <is>
          <t>허리를 굽히지 않고 고관절로 숙이는 법을 익힙니다.</t>
        </is>
      </c>
      <c r="G36" s="7" t="inlineStr">
        <is>
          <t>막대를 등 뒤에 세로로 대고 뒤통수·등·엉덩이 세 곳에 닿게 합니다. → 무릎을 살짝 굽힌 채 엉덩이를 뒤로 밀며 숙입니다. → 세 곳이 떨어지지 않는 범위까지만 숙였다 돌아옵니다.</t>
        </is>
      </c>
      <c r="H36" s="7" t="inlineStr">
        <is>
          <t>허리 통증이나 다리 저림이 있으면 중단하세요.</t>
        </is>
      </c>
      <c r="I36" s="9" t="inlineStr"/>
      <c r="J36" s="10" t="inlineStr"/>
    </row>
    <row r="37" ht="44" customHeight="1">
      <c r="A37" s="7" t="inlineStr">
        <is>
          <t>func-04</t>
        </is>
      </c>
      <c r="B37" s="7" t="inlineStr">
        <is>
          <t>루마니안 데드리프트</t>
        </is>
      </c>
      <c r="C37" s="7" t="inlineStr">
        <is>
          <t>기능성 운동</t>
        </is>
      </c>
      <c r="D37" s="12" t="inlineStr">
        <is>
          <t>-</t>
        </is>
      </c>
      <c r="E37" s="12" t="inlineStr">
        <is>
          <t>중급</t>
        </is>
      </c>
      <c r="F37" s="7" t="inlineStr">
        <is>
          <t>엉덩이와 햄스트링의 힘을 기릅니다.</t>
        </is>
      </c>
      <c r="G37" s="7" t="inlineStr">
        <is>
          <t>덤벨을 허벅지 앞에 들고 섭니다. → 무릎을 살짝 굽힌 채 엉덩이를 뒤로 밀며 덤벨을 다리 앞으로 내립니다. → 햄스트링이 당기는 지점에서 멈추고 엉덩이 힘으로 일어납니다.</t>
        </is>
      </c>
      <c r="H37" s="7" t="inlineStr">
        <is>
          <t>허리에 통증이 있으면 무게를 빼고 힙힌지부터 다시 하세요.</t>
        </is>
      </c>
      <c r="I37" s="9" t="inlineStr"/>
      <c r="J37" s="10" t="inlineStr"/>
    </row>
    <row r="38" ht="44" customHeight="1">
      <c r="A38" s="7" t="inlineStr">
        <is>
          <t>func-05</t>
        </is>
      </c>
      <c r="B38" s="7" t="inlineStr">
        <is>
          <t>리버스 런지</t>
        </is>
      </c>
      <c r="C38" s="7" t="inlineStr">
        <is>
          <t>기능성 운동</t>
        </is>
      </c>
      <c r="D38" s="12" t="inlineStr">
        <is>
          <t>-</t>
        </is>
      </c>
      <c r="E38" s="12" t="inlineStr">
        <is>
          <t>초급</t>
        </is>
      </c>
      <c r="F38" s="7" t="inlineStr">
        <is>
          <t>한 다리로 버티는 힘과 균형을 기릅니다.</t>
        </is>
      </c>
      <c r="G38" s="7" t="inlineStr">
        <is>
          <t>바르게 섭니다. → 한 발을 뒤로 크게 내딛으며 앞무릎을 90도까지 굽힙니다. → 앞발로 바닥을 밀며 시작 자세로 돌아옵니다.</t>
        </is>
      </c>
      <c r="H38" s="7" t="inlineStr">
        <is>
          <t>무릎 통증이 있으면 범위를 줄이거나 박스 스쿼트로 바꾸세요.</t>
        </is>
      </c>
      <c r="I38" s="9" t="inlineStr"/>
      <c r="J38" s="10" t="inlineStr"/>
    </row>
    <row r="39" ht="44" customHeight="1">
      <c r="A39" s="7" t="inlineStr">
        <is>
          <t>func-06</t>
        </is>
      </c>
      <c r="B39" s="7" t="inlineStr">
        <is>
          <t>인클라인 푸시업</t>
        </is>
      </c>
      <c r="C39" s="7" t="inlineStr">
        <is>
          <t>기능성 운동</t>
        </is>
      </c>
      <c r="D39" s="12" t="inlineStr">
        <is>
          <t>-</t>
        </is>
      </c>
      <c r="E39" s="12" t="inlineStr">
        <is>
          <t>초급</t>
        </is>
      </c>
      <c r="F39" s="7" t="inlineStr">
        <is>
          <t>어깨와 가슴, 코어를 함께 쓰는 미는 힘을 기릅니다.</t>
        </is>
      </c>
      <c r="G39" s="7" t="inlineStr">
        <is>
          <t>벽이나 튼튼한 책상에 손을 어깨너비로 짚습니다. → 몸을 한 줄로 만든 뒤 가슴을 손 사이로 내립니다. → 팔로 밀며 시작 자세로 돌아옵니다.</t>
        </is>
      </c>
      <c r="H39" s="7" t="inlineStr">
        <is>
          <t>어깨 앞쪽 통증이 있으면 높이를 더 높이세요.</t>
        </is>
      </c>
      <c r="I39" s="9" t="inlineStr"/>
      <c r="J39" s="10" t="inlineStr"/>
    </row>
    <row r="40" ht="44" customHeight="1">
      <c r="A40" s="7" t="inlineStr">
        <is>
          <t>func-07</t>
        </is>
      </c>
      <c r="B40" s="7" t="inlineStr">
        <is>
          <t>밴드 로우</t>
        </is>
      </c>
      <c r="C40" s="7" t="inlineStr">
        <is>
          <t>기능성 운동</t>
        </is>
      </c>
      <c r="D40" s="12" t="inlineStr">
        <is>
          <t>-</t>
        </is>
      </c>
      <c r="E40" s="12" t="inlineStr">
        <is>
          <t>초급</t>
        </is>
      </c>
      <c r="F40" s="7" t="inlineStr">
        <is>
          <t>등을 당기는 힘을 길러 자세를 잡아 줍니다.</t>
        </is>
      </c>
      <c r="G40" s="7" t="inlineStr">
        <is>
          <t>밴드를 발이나 기둥에 고정하고 양손으로 잡습니다. → 가슴을 세우고 팔꿈치를 몸통 쪽으로 당깁니다. → 어깨뼈가 모이는 느낌에서 1초 멈춘 뒤 돌아옵니다.</t>
        </is>
      </c>
      <c r="H40" s="7" t="inlineStr">
        <is>
          <t>어깨나 팔에 저림이 있으면 중단하세요.</t>
        </is>
      </c>
      <c r="I40" s="9" t="inlineStr"/>
      <c r="J40" s="10" t="inlineStr"/>
    </row>
    <row r="41" ht="44" customHeight="1">
      <c r="A41" s="7" t="inlineStr">
        <is>
          <t>func-08</t>
        </is>
      </c>
      <c r="B41" s="7" t="inlineStr">
        <is>
          <t>팔로프 프레스</t>
        </is>
      </c>
      <c r="C41" s="7" t="inlineStr">
        <is>
          <t>기능성 운동</t>
        </is>
      </c>
      <c r="D41" s="12" t="inlineStr">
        <is>
          <t>-</t>
        </is>
      </c>
      <c r="E41" s="12" t="inlineStr">
        <is>
          <t>중급</t>
        </is>
      </c>
      <c r="F41" s="7" t="inlineStr">
        <is>
          <t>몸통이 돌아가지 않게 버티는 코어 힘을 기릅니다.</t>
        </is>
      </c>
      <c r="G41" s="7" t="inlineStr">
        <is>
          <t>밴드를 옆쪽에 고정하고 양손으로 가슴 앞에 잡습니다. → 몸통이 돌아가지 않게 버티며 팔을 앞으로 뻗습니다. → 천천히 가슴으로 돌아옵니다.</t>
        </is>
      </c>
      <c r="H41" s="7" t="inlineStr">
        <is>
          <t>허리 통증이 있으면 밴드 장력을 줄이세요.</t>
        </is>
      </c>
      <c r="I41" s="9" t="inlineStr"/>
      <c r="J41" s="10" t="inlineStr"/>
    </row>
    <row r="42" ht="44" customHeight="1">
      <c r="A42" s="7" t="inlineStr">
        <is>
          <t>func-09</t>
        </is>
      </c>
      <c r="B42" s="7" t="inlineStr">
        <is>
          <t>플랭크</t>
        </is>
      </c>
      <c r="C42" s="7" t="inlineStr">
        <is>
          <t>기능성 운동</t>
        </is>
      </c>
      <c r="D42" s="12" t="inlineStr">
        <is>
          <t>-</t>
        </is>
      </c>
      <c r="E42" s="12" t="inlineStr">
        <is>
          <t>초급</t>
        </is>
      </c>
      <c r="F42" s="7" t="inlineStr">
        <is>
          <t>몸통 전체를 한 줄로 버티는 힘을 기릅니다.</t>
        </is>
      </c>
      <c r="G42" s="7" t="inlineStr">
        <is>
          <t>팔꿈치를 어깨 아래에 두고 엎드립니다. → 발끝으로 지지하며 머리-엉덩이-발이 한 줄이 되게 만듭니다. → 20~30초 버팁니다.</t>
        </is>
      </c>
      <c r="H42" s="7" t="inlineStr">
        <is>
          <t>허리 통증이 생기면 즉시 내려오세요.</t>
        </is>
      </c>
      <c r="I42" s="9" t="inlineStr"/>
      <c r="J42" s="10" t="inlineStr"/>
    </row>
    <row r="43" ht="44" customHeight="1">
      <c r="A43" s="7" t="inlineStr">
        <is>
          <t>func-10</t>
        </is>
      </c>
      <c r="B43" s="7" t="inlineStr">
        <is>
          <t>싱글레그 스탠스</t>
        </is>
      </c>
      <c r="C43" s="7" t="inlineStr">
        <is>
          <t>기능성 운동</t>
        </is>
      </c>
      <c r="D43" s="12" t="inlineStr">
        <is>
          <t>-</t>
        </is>
      </c>
      <c r="E43" s="12" t="inlineStr">
        <is>
          <t>초급</t>
        </is>
      </c>
      <c r="F43" s="7" t="inlineStr">
        <is>
          <t>한 발로 서는 균형 감각을 기릅니다.</t>
        </is>
      </c>
      <c r="G43" s="7" t="inlineStr">
        <is>
          <t>한 발로 섭니다. → 반대쪽 무릎을 골반 높이까지 듭니다. → 20~30초 유지한 뒤 바꿉니다.</t>
        </is>
      </c>
      <c r="H43" s="7" t="inlineStr">
        <is>
          <t>발목이 불안정하면 벽 옆에서 진행하세요.</t>
        </is>
      </c>
      <c r="I43" s="9" t="inlineStr"/>
      <c r="J43" s="10" t="inlineStr"/>
    </row>
    <row r="44" ht="44" customHeight="1">
      <c r="A44" s="7" t="inlineStr">
        <is>
          <t>knee-p1-01</t>
        </is>
      </c>
      <c r="B44" s="7" t="inlineStr">
        <is>
          <t>쿼드셋</t>
        </is>
      </c>
      <c r="C44" s="7" t="inlineStr">
        <is>
          <t>무릎 회복운동</t>
        </is>
      </c>
      <c r="D44" s="12" t="inlineStr">
        <is>
          <t>P1</t>
        </is>
      </c>
      <c r="E44" s="12" t="inlineStr">
        <is>
          <t>초급</t>
        </is>
      </c>
      <c r="F44" s="7" t="inlineStr">
        <is>
          <t>무릎을 움직이지 않고 허벅지 앞 근육을 깨웁니다.</t>
        </is>
      </c>
      <c r="G44" s="7" t="inlineStr">
        <is>
          <t>다리를 펴고 앉거나 눕습니다. → 무릎 뒤로 바닥을 누른다는 느낌으로 허벅지 앞에 힘을 줍니다. → 5초 유지한 뒤 천천히 풉니다.</t>
        </is>
      </c>
      <c r="H44" s="7" t="inlineStr">
        <is>
          <t>무릎 안쪽이 찌르듯 아프면 중단하세요.</t>
        </is>
      </c>
      <c r="I44" s="9" t="inlineStr"/>
      <c r="J44" s="10" t="inlineStr"/>
    </row>
    <row r="45" ht="44" customHeight="1">
      <c r="A45" s="7" t="inlineStr">
        <is>
          <t>knee-p1-02</t>
        </is>
      </c>
      <c r="B45" s="7" t="inlineStr">
        <is>
          <t>힐슬라이드</t>
        </is>
      </c>
      <c r="C45" s="7" t="inlineStr">
        <is>
          <t>무릎 회복운동</t>
        </is>
      </c>
      <c r="D45" s="12" t="inlineStr">
        <is>
          <t>P1</t>
        </is>
      </c>
      <c r="E45" s="12" t="inlineStr">
        <is>
          <t>초급</t>
        </is>
      </c>
      <c r="F45" s="7" t="inlineStr">
        <is>
          <t>무릎을 굽히고 펴는 범위를 아프지 않게 되찾습니다.</t>
        </is>
      </c>
      <c r="G45" s="7" t="inlineStr">
        <is>
          <t>천장을 보고 누워 다리를 폅니다. → 발뒤꿈치를 바닥에 붙인 채 엉덩이 쪽으로 미끄러뜨립니다. → 통증이 없는 지점까지만 굽혔다 천천히 폅니다.</t>
        </is>
      </c>
      <c r="H45" s="7" t="inlineStr"/>
      <c r="I45" s="9" t="inlineStr"/>
      <c r="J45" s="10" t="inlineStr"/>
    </row>
    <row r="46" ht="44" customHeight="1">
      <c r="A46" s="7" t="inlineStr">
        <is>
          <t>knee-p1-03</t>
        </is>
      </c>
      <c r="B46" s="7" t="inlineStr">
        <is>
          <t>누워서 다리 들기 (SLR)</t>
        </is>
      </c>
      <c r="C46" s="7" t="inlineStr">
        <is>
          <t>무릎 회복운동</t>
        </is>
      </c>
      <c r="D46" s="12" t="inlineStr">
        <is>
          <t>P1</t>
        </is>
      </c>
      <c r="E46" s="12" t="inlineStr">
        <is>
          <t>초급</t>
        </is>
      </c>
      <c r="F46" s="7" t="inlineStr">
        <is>
          <t>무릎을 굽히지 않고 허벅지 앞 근력을 기릅니다.</t>
        </is>
      </c>
      <c r="G46" s="7" t="inlineStr">
        <is>
          <t>한쪽 무릎은 세우고 반대쪽 다리는 폅니다. → 편 다리의 허벅지 앞에 먼저 힘을 줍니다. → 다리를 30cm 정도 들어 올린 뒤 천천히 내립니다.</t>
        </is>
      </c>
      <c r="H46" s="7" t="inlineStr">
        <is>
          <t>허리가 아프면 반대쪽 무릎을 더 세우세요.</t>
        </is>
      </c>
      <c r="I46" s="9" t="inlineStr"/>
      <c r="J46" s="10" t="inlineStr"/>
    </row>
    <row r="47" ht="44" customHeight="1">
      <c r="A47" s="7" t="inlineStr">
        <is>
          <t>knee-p2-01</t>
        </is>
      </c>
      <c r="B47" s="7" t="inlineStr">
        <is>
          <t>글루트 브릿지</t>
        </is>
      </c>
      <c r="C47" s="7" t="inlineStr">
        <is>
          <t>무릎 회복운동</t>
        </is>
      </c>
      <c r="D47" s="12" t="inlineStr">
        <is>
          <t>P2</t>
        </is>
      </c>
      <c r="E47" s="12" t="inlineStr">
        <is>
          <t>초급</t>
        </is>
      </c>
      <c r="F47" s="7" t="inlineStr">
        <is>
          <t>엉덩이 힘을 키워 무릎이 받는 부담을 나눕니다.</t>
        </is>
      </c>
      <c r="G47" s="7" t="inlineStr">
        <is>
          <t>무릎을 세우고 눕습니다. → 배에 힘을 준 뒤 엉덩이에 힘을 주며 골반을 들어 올립니다. → 허리를 꺾지 않고 천천히 내려옵니다.</t>
        </is>
      </c>
      <c r="H47" s="7" t="inlineStr">
        <is>
          <t>허리로 드는 느낌이 강하면 중단하고 쉬운 동작으로 바꾸세요.</t>
        </is>
      </c>
      <c r="I47" s="9" t="inlineStr"/>
      <c r="J47" s="10" t="inlineStr"/>
    </row>
    <row r="48" ht="44" customHeight="1">
      <c r="A48" s="7" t="inlineStr">
        <is>
          <t>knee-p2-02</t>
        </is>
      </c>
      <c r="B48" s="7" t="inlineStr">
        <is>
          <t>클램셸</t>
        </is>
      </c>
      <c r="C48" s="7" t="inlineStr">
        <is>
          <t>무릎 회복운동</t>
        </is>
      </c>
      <c r="D48" s="12" t="inlineStr">
        <is>
          <t>P2</t>
        </is>
      </c>
      <c r="E48" s="12" t="inlineStr">
        <is>
          <t>초급</t>
        </is>
      </c>
      <c r="F48" s="7" t="inlineStr">
        <is>
          <t>엉덩이 옆 근육을 깨워 무릎이 안쪽으로 무너지는 것을 막습니다.</t>
        </is>
      </c>
      <c r="G48" s="7" t="inlineStr">
        <is>
          <t>옆으로 누워 무릎을 45도로 굽힙니다. → 발뒤꿈치는 붙인 채 위쪽 무릎만 천천히 엽니다. → 2초 유지한 뒤 내립니다.</t>
        </is>
      </c>
      <c r="H48" s="7" t="inlineStr"/>
      <c r="I48" s="9" t="inlineStr"/>
      <c r="J48" s="10" t="inlineStr"/>
    </row>
    <row r="49" ht="44" customHeight="1">
      <c r="A49" s="7" t="inlineStr">
        <is>
          <t>knee-p2-03</t>
        </is>
      </c>
      <c r="B49" s="7" t="inlineStr">
        <is>
          <t>벽 스쿼트 (하프)</t>
        </is>
      </c>
      <c r="C49" s="7" t="inlineStr">
        <is>
          <t>무릎 회복운동</t>
        </is>
      </c>
      <c r="D49" s="12" t="inlineStr">
        <is>
          <t>P2</t>
        </is>
      </c>
      <c r="E49" s="12" t="inlineStr">
        <is>
          <t>초급</t>
        </is>
      </c>
      <c r="F49" s="7" t="inlineStr">
        <is>
          <t>벽에 기대 안전한 범위에서 무릎에 힘을 넣습니다.</t>
        </is>
      </c>
      <c r="G49" s="7" t="inlineStr">
        <is>
          <t>벽에 등을 대고 발을 한 걸음 앞에 둡니다. → 무릎이 45도 정도 굽혀지는 깊이까지 미끄러져 내려갑니다. → 10초 버틴 뒤 올라옵니다.</t>
        </is>
      </c>
      <c r="H49" s="7" t="inlineStr">
        <is>
          <t>무릎 앞쪽 통증이 커지면 깊이를 줄이세요.</t>
        </is>
      </c>
      <c r="I49" s="9" t="inlineStr"/>
      <c r="J49" s="10" t="inlineStr"/>
    </row>
    <row r="50" ht="44" customHeight="1">
      <c r="A50" s="7" t="inlineStr">
        <is>
          <t>knee-p3-01</t>
        </is>
      </c>
      <c r="B50" s="7" t="inlineStr">
        <is>
          <t>스텝업 (낮은 계단)</t>
        </is>
      </c>
      <c r="C50" s="7" t="inlineStr">
        <is>
          <t>무릎 회복운동</t>
        </is>
      </c>
      <c r="D50" s="12" t="inlineStr">
        <is>
          <t>P3</t>
        </is>
      </c>
      <c r="E50" s="12" t="inlineStr">
        <is>
          <t>중급</t>
        </is>
      </c>
      <c r="F50" s="7" t="inlineStr">
        <is>
          <t>계단을 오르는 실제 동작으로 무릎 근력을 회복합니다.</t>
        </is>
      </c>
      <c r="G50" s="7" t="inlineStr">
        <is>
          <t>낮은 계단이나 튼튼한 박스 앞에 섭니다. → 한 발을 올리고 그 다리 힘으로 올라섭니다. → 천천히 내려옵니다.</t>
        </is>
      </c>
      <c r="H50" s="7" t="inlineStr"/>
      <c r="I50" s="9" t="inlineStr"/>
      <c r="J50" s="10" t="inlineStr"/>
    </row>
    <row r="51" ht="44" customHeight="1">
      <c r="A51" s="7" t="inlineStr">
        <is>
          <t>knee-p3-02</t>
        </is>
      </c>
      <c r="B51" s="7" t="inlineStr">
        <is>
          <t>스플릿 스쿼트</t>
        </is>
      </c>
      <c r="C51" s="7" t="inlineStr">
        <is>
          <t>무릎 회복운동</t>
        </is>
      </c>
      <c r="D51" s="12" t="inlineStr">
        <is>
          <t>P3</t>
        </is>
      </c>
      <c r="E51" s="12" t="inlineStr">
        <is>
          <t>중급</t>
        </is>
      </c>
      <c r="F51" s="7" t="inlineStr">
        <is>
          <t>한 다리에 체중을 실어 버티는 힘을 기릅니다.</t>
        </is>
      </c>
      <c r="G51" s="7" t="inlineStr">
        <is>
          <t>한 발을 앞, 한 발을 뒤에 두고 섭니다. → 상체를 세운 채 뒤무릎을 바닥 쪽으로 내립니다. → 앞발로 밀며 올라옵니다.</t>
        </is>
      </c>
      <c r="H51" s="7" t="inlineStr"/>
      <c r="I51" s="9" t="inlineStr"/>
      <c r="J51" s="10" t="inlineStr"/>
    </row>
    <row r="52" ht="44" customHeight="1">
      <c r="A52" s="7" t="inlineStr">
        <is>
          <t>knee-p3-03</t>
        </is>
      </c>
      <c r="B52" s="7" t="inlineStr">
        <is>
          <t>햄스트링 컬 (누워서 밴드)</t>
        </is>
      </c>
      <c r="C52" s="7" t="inlineStr">
        <is>
          <t>무릎 회복운동</t>
        </is>
      </c>
      <c r="D52" s="12" t="inlineStr">
        <is>
          <t>P3</t>
        </is>
      </c>
      <c r="E52" s="12" t="inlineStr">
        <is>
          <t>중급</t>
        </is>
      </c>
      <c r="F52" s="7" t="inlineStr">
        <is>
          <t>허벅지 뒤 근육을 키워 무릎 앞뒤 균형을 맞춥니다.</t>
        </is>
      </c>
      <c r="G52" s="7" t="inlineStr">
        <is>
          <t>엎드려 누워 발목에 밴드를 겁니다. → 무릎을 굽혀 발뒤꿈치를 엉덩이 쪽으로 당깁니다. → 천천히 내립니다.</t>
        </is>
      </c>
      <c r="H52" s="7" t="inlineStr">
        <is>
          <t>허벅지 뒤에 쥐가 나면 중단하고 스트레칭하세요.</t>
        </is>
      </c>
      <c r="I52" s="9" t="inlineStr"/>
      <c r="J52" s="10" t="inlineStr"/>
    </row>
    <row r="53" ht="44" customHeight="1">
      <c r="A53" s="7" t="inlineStr">
        <is>
          <t>knee-p4-01</t>
        </is>
      </c>
      <c r="B53" s="7" t="inlineStr">
        <is>
          <t>착지 훈련 (낮은 높이)</t>
        </is>
      </c>
      <c r="C53" s="7" t="inlineStr">
        <is>
          <t>무릎 회복운동</t>
        </is>
      </c>
      <c r="D53" s="12" t="inlineStr">
        <is>
          <t>P4</t>
        </is>
      </c>
      <c r="E53" s="12" t="inlineStr">
        <is>
          <t>중급</t>
        </is>
      </c>
      <c r="F53" s="7" t="inlineStr">
        <is>
          <t>뛰고 내려오는 상황에서 무릎을 안전하게 쓰는 법을 익힙니다.</t>
        </is>
      </c>
      <c r="G53" s="7" t="inlineStr">
        <is>
          <t>낮은 계단이나 박스 위에 섭니다. → 앞으로 가볍게 내려와 두 발로 부드럽게 착지합니다. → 착지 자세를 2초 유지한 뒤 다시 올라갑니다.</t>
        </is>
      </c>
      <c r="H53" s="7" t="inlineStr">
        <is>
          <t>착지할 때 통증이 있으면 즉시 중단하세요.</t>
        </is>
      </c>
      <c r="I53" s="9" t="inlineStr"/>
      <c r="J53" s="10" t="inlineStr"/>
    </row>
    <row r="54" ht="44" customHeight="1">
      <c r="A54" s="7" t="inlineStr">
        <is>
          <t>knee-p4-02</t>
        </is>
      </c>
      <c r="B54" s="7" t="inlineStr">
        <is>
          <t>사이드 스텝 (미니밴드)</t>
        </is>
      </c>
      <c r="C54" s="7" t="inlineStr">
        <is>
          <t>무릎 회복운동</t>
        </is>
      </c>
      <c r="D54" s="12" t="inlineStr">
        <is>
          <t>P4</t>
        </is>
      </c>
      <c r="E54" s="12" t="inlineStr">
        <is>
          <t>중급</t>
        </is>
      </c>
      <c r="F54" s="7" t="inlineStr">
        <is>
          <t>옆으로 움직일 때 무릎을 잡아 주는 근육을 훈련합니다.</t>
        </is>
      </c>
      <c r="G54" s="7" t="inlineStr">
        <is>
          <t>미니밴드를 무릎 위나 발목에 겁니다. → 무릎을 살짝 굽힌 자세로 옆으로 10걸음 이동합니다. → 반대 방향으로 돌아옵니다.</t>
        </is>
      </c>
      <c r="H54" s="7" t="inlineStr"/>
      <c r="I54" s="9" t="inlineStr"/>
      <c r="J54" s="10" t="inlineStr"/>
    </row>
    <row r="55" ht="44" customHeight="1">
      <c r="A55" s="7" t="inlineStr">
        <is>
          <t>knee-p4-03</t>
        </is>
      </c>
      <c r="B55" s="7" t="inlineStr">
        <is>
          <t>방향전환 준비 운동 (지그재그 워킹)</t>
        </is>
      </c>
      <c r="C55" s="7" t="inlineStr">
        <is>
          <t>무릎 회복운동</t>
        </is>
      </c>
      <c r="D55" s="12" t="inlineStr">
        <is>
          <t>P4</t>
        </is>
      </c>
      <c r="E55" s="12" t="inlineStr">
        <is>
          <t>중급</t>
        </is>
      </c>
      <c r="F55" s="7" t="inlineStr">
        <is>
          <t>방향을 바꾸는 움직임에 무릎을 다시 적응시킵니다.</t>
        </is>
      </c>
      <c r="G55" s="7" t="inlineStr">
        <is>
          <t>5m 정도 거리를 지그재그로 걷습니다. → 방향을 바꿀 때 무릎이 아니라 발과 골반으로 돌립니다. → 천천히 왕복합니다.</t>
        </is>
      </c>
      <c r="H55" s="7" t="inlineStr">
        <is>
          <t>통증이나 불안정한 느낌이 있으면 중단하세요.</t>
        </is>
      </c>
      <c r="I55" s="9" t="inlineStr"/>
      <c r="J55" s="10" t="inlineStr"/>
    </row>
    <row r="56" ht="44" customHeight="1">
      <c r="A56" s="7" t="inlineStr">
        <is>
          <t>neck-p1-01</t>
        </is>
      </c>
      <c r="B56" s="7" t="inlineStr">
        <is>
          <t>턱 당기기 (누워서)</t>
        </is>
      </c>
      <c r="C56" s="7" t="inlineStr">
        <is>
          <t>목·등 상부 회복운동</t>
        </is>
      </c>
      <c r="D56" s="12" t="inlineStr">
        <is>
          <t>P1</t>
        </is>
      </c>
      <c r="E56" s="12" t="inlineStr">
        <is>
          <t>초급</t>
        </is>
      </c>
      <c r="F56" s="7" t="inlineStr">
        <is>
          <t>목 깊은 근육을 부담 없이 깨웁니다.</t>
        </is>
      </c>
      <c r="G56" s="7" t="inlineStr">
        <is>
          <t>무릎을 세우고 누워 뒤통수를 바닥에 댑니다. → 턱을 목 쪽으로 살짝 당겨 목 뒤를 길게 만듭니다. → 5초 유지한 뒤 천천히 풉니다.</t>
        </is>
      </c>
      <c r="H56" s="7" t="inlineStr"/>
      <c r="I56" s="9" t="inlineStr"/>
      <c r="J56" s="10" t="inlineStr"/>
    </row>
    <row r="57" ht="44" customHeight="1">
      <c r="A57" s="7" t="inlineStr">
        <is>
          <t>neck-p1-02</t>
        </is>
      </c>
      <c r="B57" s="7" t="inlineStr">
        <is>
          <t>목 가동성 운동</t>
        </is>
      </c>
      <c r="C57" s="7" t="inlineStr">
        <is>
          <t>목·등 상부 회복운동</t>
        </is>
      </c>
      <c r="D57" s="12" t="inlineStr">
        <is>
          <t>P1</t>
        </is>
      </c>
      <c r="E57" s="12" t="inlineStr">
        <is>
          <t>초급</t>
        </is>
      </c>
      <c r="F57" s="7" t="inlineStr">
        <is>
          <t>목을 아프지 않은 범위에서 부드럽게 움직입니다.</t>
        </is>
      </c>
      <c r="G57" s="7" t="inlineStr">
        <is>
          <t>바르게 앉습니다. → 고개를 좌우로 천천히 돌립니다. → 귀를 어깨 쪽으로 천천히 기울입니다. → 각 방향 5회씩 진행합니다.</t>
        </is>
      </c>
      <c r="H57" s="7" t="inlineStr">
        <is>
          <t>어지럼이 생기면 즉시 중단하세요.</t>
        </is>
      </c>
      <c r="I57" s="9" t="inlineStr"/>
      <c r="J57" s="10" t="inlineStr"/>
    </row>
    <row r="58" ht="44" customHeight="1">
      <c r="A58" s="7" t="inlineStr">
        <is>
          <t>neck-p1-03</t>
        </is>
      </c>
      <c r="B58" s="7" t="inlineStr">
        <is>
          <t>흉추 회전 (앉아서)</t>
        </is>
      </c>
      <c r="C58" s="7" t="inlineStr">
        <is>
          <t>목·등 상부 회복운동</t>
        </is>
      </c>
      <c r="D58" s="12" t="inlineStr">
        <is>
          <t>P1</t>
        </is>
      </c>
      <c r="E58" s="12" t="inlineStr">
        <is>
          <t>초급</t>
        </is>
      </c>
      <c r="F58" s="7" t="inlineStr">
        <is>
          <t>등 윗부분을 돌려 목이 대신 일하는 것을 줄입니다.</t>
        </is>
      </c>
      <c r="G58" s="7" t="inlineStr">
        <is>
          <t>의자에 앉아 양손을 가슴 앞에 모읍니다. → 골반은 고정한 채 상체만 한쪽으로 돌립니다. → 2초 유지한 뒤 반대쪽으로 돌립니다.</t>
        </is>
      </c>
      <c r="H58" s="7" t="inlineStr"/>
      <c r="I58" s="9" t="inlineStr"/>
      <c r="J58" s="10" t="inlineStr"/>
    </row>
    <row r="59" ht="44" customHeight="1">
      <c r="A59" s="7" t="inlineStr">
        <is>
          <t>neck-p2-01</t>
        </is>
      </c>
      <c r="B59" s="7" t="inlineStr">
        <is>
          <t>밴드 풀어파트</t>
        </is>
      </c>
      <c r="C59" s="7" t="inlineStr">
        <is>
          <t>목·등 상부 회복운동</t>
        </is>
      </c>
      <c r="D59" s="12" t="inlineStr">
        <is>
          <t>P2</t>
        </is>
      </c>
      <c r="E59" s="12" t="inlineStr">
        <is>
          <t>초급</t>
        </is>
      </c>
      <c r="F59" s="7" t="inlineStr">
        <is>
          <t>등 위쪽 근육을 깨워 목의 부담을 나눕니다.</t>
        </is>
      </c>
      <c r="G59" s="7" t="inlineStr">
        <is>
          <t>밴드를 어깨너비보다 넓게 잡고 팔을 앞으로 뻗습니다. → 팔을 편 채 밴드를 좌우로 벌립니다. → 어깨뼈가 모이는 지점에서 1초 멈춥니다.</t>
        </is>
      </c>
      <c r="H59" s="7" t="inlineStr"/>
      <c r="I59" s="9" t="inlineStr"/>
      <c r="J59" s="10" t="inlineStr"/>
    </row>
    <row r="60" ht="44" customHeight="1">
      <c r="A60" s="7" t="inlineStr">
        <is>
          <t>neck-p2-02</t>
        </is>
      </c>
      <c r="B60" s="7" t="inlineStr">
        <is>
          <t>벽 천사 운동</t>
        </is>
      </c>
      <c r="C60" s="7" t="inlineStr">
        <is>
          <t>목·등 상부 회복운동</t>
        </is>
      </c>
      <c r="D60" s="12" t="inlineStr">
        <is>
          <t>P2</t>
        </is>
      </c>
      <c r="E60" s="12" t="inlineStr">
        <is>
          <t>초급</t>
        </is>
      </c>
      <c r="F60" s="7" t="inlineStr">
        <is>
          <t>등을 편 상태로 팔을 올리는 움직임을 익힙니다.</t>
        </is>
      </c>
      <c r="G60" s="7" t="inlineStr">
        <is>
          <t>벽에 등을 대고 뒤통수·등·엉덩이를 붙입니다. → 팔꿈치와 손등을 벽에 붙입니다. → 벽에서 떨어지지 않게 팔을 위로 밀어 올립니다.</t>
        </is>
      </c>
      <c r="H60" s="7" t="inlineStr"/>
      <c r="I60" s="9" t="inlineStr"/>
      <c r="J60" s="10" t="inlineStr"/>
    </row>
    <row r="61" ht="44" customHeight="1">
      <c r="A61" s="7" t="inlineStr">
        <is>
          <t>neck-p2-03</t>
        </is>
      </c>
      <c r="B61" s="7" t="inlineStr">
        <is>
          <t>견갑 후인 (스캡션 홀드)</t>
        </is>
      </c>
      <c r="C61" s="7" t="inlineStr">
        <is>
          <t>목·등 상부 회복운동</t>
        </is>
      </c>
      <c r="D61" s="12" t="inlineStr">
        <is>
          <t>P2</t>
        </is>
      </c>
      <c r="E61" s="12" t="inlineStr">
        <is>
          <t>초급</t>
        </is>
      </c>
      <c r="F61" s="7" t="inlineStr">
        <is>
          <t>어깨뼈를 제자리에 유지하는 지구력을 기릅니다.</t>
        </is>
      </c>
      <c r="G61" s="7" t="inlineStr">
        <is>
          <t>바르게 앉거나 섭니다. → 어깨뼈를 뒤쪽 아래로 모아 내립니다. → 10초 유지한 뒤 풉니다.</t>
        </is>
      </c>
      <c r="H61" s="7" t="inlineStr"/>
      <c r="I61" s="9" t="inlineStr"/>
      <c r="J61" s="10" t="inlineStr"/>
    </row>
    <row r="62" ht="44" customHeight="1">
      <c r="A62" s="7" t="inlineStr">
        <is>
          <t>neck-p3-01</t>
        </is>
      </c>
      <c r="B62" s="7" t="inlineStr">
        <is>
          <t>밴드 로우</t>
        </is>
      </c>
      <c r="C62" s="7" t="inlineStr">
        <is>
          <t>목·등 상부 회복운동</t>
        </is>
      </c>
      <c r="D62" s="12" t="inlineStr">
        <is>
          <t>P3</t>
        </is>
      </c>
      <c r="E62" s="12" t="inlineStr">
        <is>
          <t>중급</t>
        </is>
      </c>
      <c r="F62" s="7" t="inlineStr">
        <is>
          <t>등을 당기는 근력을 키워 자세를 유지합니다.</t>
        </is>
      </c>
      <c r="G62" s="7" t="inlineStr">
        <is>
          <t>밴드를 고정하고 양손으로 잡습니다. → 가슴을 세우고 팔꿈치를 몸통 쪽으로 당깁니다. → 1초 멈춘 뒤 천천히 돌아옵니다.</t>
        </is>
      </c>
      <c r="H62" s="7" t="inlineStr"/>
      <c r="I62" s="9" t="inlineStr"/>
      <c r="J62" s="10" t="inlineStr"/>
    </row>
    <row r="63" ht="44" customHeight="1">
      <c r="A63" s="7" t="inlineStr">
        <is>
          <t>neck-p3-02</t>
        </is>
      </c>
      <c r="B63" s="7" t="inlineStr">
        <is>
          <t>프론 Y</t>
        </is>
      </c>
      <c r="C63" s="7" t="inlineStr">
        <is>
          <t>목·등 상부 회복운동</t>
        </is>
      </c>
      <c r="D63" s="12" t="inlineStr">
        <is>
          <t>P3</t>
        </is>
      </c>
      <c r="E63" s="12" t="inlineStr">
        <is>
          <t>중급</t>
        </is>
      </c>
      <c r="F63" s="7" t="inlineStr">
        <is>
          <t>등 위쪽 근육의 힘을 되찾습니다.</t>
        </is>
      </c>
      <c r="G63" s="7" t="inlineStr">
        <is>
          <t>엎드려 누워 이마를 수건에 댑니다. → 팔을 Y자로 뻗고 엄지를 위로 향하게 합니다. → 팔을 바닥에서 들어 올려 2초 유지합니다.</t>
        </is>
      </c>
      <c r="H63" s="7" t="inlineStr">
        <is>
          <t>허리에 통증이 생기면 중단하세요.</t>
        </is>
      </c>
      <c r="I63" s="9" t="inlineStr"/>
      <c r="J63" s="10" t="inlineStr"/>
    </row>
    <row r="64" ht="44" customHeight="1">
      <c r="A64" s="7" t="inlineStr">
        <is>
          <t>neck-p3-03</t>
        </is>
      </c>
      <c r="B64" s="7" t="inlineStr">
        <is>
          <t>플랭크 (코어 안정화)</t>
        </is>
      </c>
      <c r="C64" s="7" t="inlineStr">
        <is>
          <t>목·등 상부 회복운동</t>
        </is>
      </c>
      <c r="D64" s="12" t="inlineStr">
        <is>
          <t>P3</t>
        </is>
      </c>
      <c r="E64" s="12" t="inlineStr">
        <is>
          <t>중급</t>
        </is>
      </c>
      <c r="F64" s="7" t="inlineStr">
        <is>
          <t>몸통 전체를 잡아 주는 힘으로 상체 자세를 받쳐 줍니다.</t>
        </is>
      </c>
      <c r="G64" s="7" t="inlineStr">
        <is>
          <t>팔꿈치를 어깨 아래 두고 엎드립니다. → 머리-엉덩이-발이 한 줄이 되게 만듭니다. → 20초 버팁니다.</t>
        </is>
      </c>
      <c r="H64" s="7" t="inlineStr"/>
      <c r="I64" s="9" t="inlineStr"/>
      <c r="J64" s="10" t="inlineStr"/>
    </row>
    <row r="65" ht="44" customHeight="1">
      <c r="A65" s="7" t="inlineStr">
        <is>
          <t>neck-p4-01</t>
        </is>
      </c>
      <c r="B65" s="7" t="inlineStr">
        <is>
          <t>자세 유지 훈련 (벽 기대기)</t>
        </is>
      </c>
      <c r="C65" s="7" t="inlineStr">
        <is>
          <t>목·등 상부 회복운동</t>
        </is>
      </c>
      <c r="D65" s="12" t="inlineStr">
        <is>
          <t>P4</t>
        </is>
      </c>
      <c r="E65" s="12" t="inlineStr">
        <is>
          <t>중급</t>
        </is>
      </c>
      <c r="F65" s="7" t="inlineStr">
        <is>
          <t>바른 자세를 오래 유지하는 지구력을 기릅니다.</t>
        </is>
      </c>
      <c r="G65" s="7" t="inlineStr">
        <is>
          <t>벽에 뒤통수·등·엉덩이를 대고 섭니다. → 턱을 살짝 당긴 상태로 30초 유지합니다. → 벽에서 한 걸음 나와 같은 자세를 30초 유지합니다.</t>
        </is>
      </c>
      <c r="H65" s="7" t="inlineStr"/>
      <c r="I65" s="9" t="inlineStr"/>
      <c r="J65" s="10" t="inlineStr"/>
    </row>
    <row r="66" ht="44" customHeight="1">
      <c r="A66" s="7" t="inlineStr">
        <is>
          <t>neck-p4-02</t>
        </is>
      </c>
      <c r="B66" s="7" t="inlineStr">
        <is>
          <t>오버헤드 리치 (밴드)</t>
        </is>
      </c>
      <c r="C66" s="7" t="inlineStr">
        <is>
          <t>목·등 상부 회복운동</t>
        </is>
      </c>
      <c r="D66" s="12" t="inlineStr">
        <is>
          <t>P4</t>
        </is>
      </c>
      <c r="E66" s="12" t="inlineStr">
        <is>
          <t>중급</t>
        </is>
      </c>
      <c r="F66" s="7" t="inlineStr">
        <is>
          <t>팔을 머리 위로 쓰는 동작에 등과 목을 적응시킵니다.</t>
        </is>
      </c>
      <c r="G66" s="7" t="inlineStr">
        <is>
          <t>밴드를 양손으로 어깨너비로 잡습니다. → 팔을 머리 위로 올리며 밴드를 살짝 벌립니다. → 천천히 내려옵니다.</t>
        </is>
      </c>
      <c r="H66" s="7" t="inlineStr"/>
      <c r="I66" s="9" t="inlineStr"/>
      <c r="J66" s="10" t="inlineStr"/>
    </row>
    <row r="67" ht="44" customHeight="1">
      <c r="A67" s="7" t="inlineStr">
        <is>
          <t>neck-p4-03</t>
        </is>
      </c>
      <c r="B67" s="7" t="inlineStr">
        <is>
          <t>데스크 리셋 루틴</t>
        </is>
      </c>
      <c r="C67" s="7" t="inlineStr">
        <is>
          <t>목·등 상부 회복운동</t>
        </is>
      </c>
      <c r="D67" s="12" t="inlineStr">
        <is>
          <t>P4</t>
        </is>
      </c>
      <c r="E67" s="12" t="inlineStr">
        <is>
          <t>초급</t>
        </is>
      </c>
      <c r="F67" s="7" t="inlineStr">
        <is>
          <t>오래 앉아 있을 때 목과 등을 되돌리는 짧은 습관을 만듭니다.</t>
        </is>
      </c>
      <c r="G67" s="7" t="inlineStr">
        <is>
          <t>턱 당기기 5회를 합니다. → 어깨를 뒤로 5회 돌립니다. → 앉은 채 상체를 좌우로 5회 돌립니다.</t>
        </is>
      </c>
      <c r="H67" s="7" t="inlineStr"/>
      <c r="I67" s="9" t="inlineStr"/>
      <c r="J67" s="10" t="inlineStr"/>
    </row>
    <row r="68" ht="44" customHeight="1">
      <c r="A68" s="7" t="inlineStr">
        <is>
          <t>posture-01</t>
        </is>
      </c>
      <c r="B68" s="7" t="inlineStr">
        <is>
          <t>복식호흡</t>
        </is>
      </c>
      <c r="C68" s="7" t="inlineStr">
        <is>
          <t>체형교정</t>
        </is>
      </c>
      <c r="D68" s="12" t="inlineStr">
        <is>
          <t>-</t>
        </is>
      </c>
      <c r="E68" s="12" t="inlineStr">
        <is>
          <t>초급</t>
        </is>
      </c>
      <c r="F68" s="7" t="inlineStr">
        <is>
          <t>긴장을 낮추고 배 속 근육을 깨워 다음 운동을 준비합니다.</t>
        </is>
      </c>
      <c r="G68" s="7" t="inlineStr">
        <is>
          <t>무릎을 세우고 바닥에 눕습니다. → 한 손은 가슴에, 다른 손은 배 위에 올립니다. → 코로 숨을 들이마시며 배가 부풀어 오르게 합니다. → 입으로 천천히 내쉬며 갈비뼈가 내려가는 것을 느낍니다.</t>
        </is>
      </c>
      <c r="H68" s="7" t="inlineStr">
        <is>
          <t>어지러우면 잠시 멈추고 평소 호흡으로 돌아옵니다.</t>
        </is>
      </c>
      <c r="I68" s="9" t="inlineStr"/>
      <c r="J68" s="10" t="inlineStr"/>
    </row>
    <row r="69" ht="44" customHeight="1">
      <c r="A69" s="7" t="inlineStr">
        <is>
          <t>posture-02</t>
        </is>
      </c>
      <c r="B69" s="7" t="inlineStr">
        <is>
          <t>턱 당기기 (친턱)</t>
        </is>
      </c>
      <c r="C69" s="7" t="inlineStr">
        <is>
          <t>체형교정</t>
        </is>
      </c>
      <c r="D69" s="12" t="inlineStr">
        <is>
          <t>-</t>
        </is>
      </c>
      <c r="E69" s="12" t="inlineStr">
        <is>
          <t>초급</t>
        </is>
      </c>
      <c r="F69" s="7" t="inlineStr">
        <is>
          <t>앞으로 나온 목을 제자리로 되돌리는 감각을 익힙니다.</t>
        </is>
      </c>
      <c r="G69" s="7" t="inlineStr">
        <is>
          <t>바르게 앉거나 섭니다. → 턱을 목 쪽으로 살짝 당겨 뒤통수가 길어지는 느낌을 만듭니다. → 3초 유지한 뒤 천천히 풉니다.</t>
        </is>
      </c>
      <c r="H69" s="7" t="inlineStr">
        <is>
          <t>어지럽거나 팔이 저리면 중단하세요.</t>
        </is>
      </c>
      <c r="I69" s="9" t="inlineStr"/>
      <c r="J69" s="10" t="inlineStr"/>
    </row>
    <row r="70" ht="44" customHeight="1">
      <c r="A70" s="7" t="inlineStr">
        <is>
          <t>posture-03</t>
        </is>
      </c>
      <c r="B70" s="7" t="inlineStr">
        <is>
          <t>흉추 신전 (폼롤러 또는 수건)</t>
        </is>
      </c>
      <c r="C70" s="7" t="inlineStr">
        <is>
          <t>체형교정</t>
        </is>
      </c>
      <c r="D70" s="12" t="inlineStr">
        <is>
          <t>-</t>
        </is>
      </c>
      <c r="E70" s="12" t="inlineStr">
        <is>
          <t>초급</t>
        </is>
      </c>
      <c r="F70" s="7" t="inlineStr">
        <is>
          <t>굽은 등을 펴서 어깨와 목의 부담을 줄입니다.</t>
        </is>
      </c>
      <c r="G70" s="7" t="inlineStr">
        <is>
          <t>폼롤러를 등 가운데에 가로로 놓고 눕습니다. → 양손으로 머리 뒤를 받칩니다. → 숨을 내쉬며 등을 폼롤러 위로 부드럽게 젖힙니다. → 천천히 돌아옵니다.</t>
        </is>
      </c>
      <c r="H70" s="7" t="inlineStr">
        <is>
          <t>허리에 통증이 생기면 즉시 중단하세요.</t>
        </is>
      </c>
      <c r="I70" s="9" t="inlineStr"/>
      <c r="J70" s="10" t="inlineStr"/>
    </row>
    <row r="71" ht="44" customHeight="1">
      <c r="A71" s="7" t="inlineStr">
        <is>
          <t>posture-04</t>
        </is>
      </c>
      <c r="B71" s="7" t="inlineStr">
        <is>
          <t>밴드 풀어파트</t>
        </is>
      </c>
      <c r="C71" s="7" t="inlineStr">
        <is>
          <t>체형교정</t>
        </is>
      </c>
      <c r="D71" s="12" t="inlineStr">
        <is>
          <t>-</t>
        </is>
      </c>
      <c r="E71" s="12" t="inlineStr">
        <is>
          <t>초급</t>
        </is>
      </c>
      <c r="F71" s="7" t="inlineStr">
        <is>
          <t>어깨뼈를 모으는 근육을 깨워 라운드숄더를 완화합니다.</t>
        </is>
      </c>
      <c r="G71" s="7" t="inlineStr">
        <is>
          <t>밴드를 어깨너비보다 조금 넓게 잡고 팔을 앞으로 뻗습니다. → 팔을 편 채로 밴드를 좌우로 벌립니다. → 어깨뼈가 모이는 느낌에서 1초 멈춥니다. → 천천히 돌아옵니다.</t>
        </is>
      </c>
      <c r="H71" s="7" t="inlineStr">
        <is>
          <t>어깨 앞쪽이 찌릿하면 범위를 줄이세요.</t>
        </is>
      </c>
      <c r="I71" s="9" t="inlineStr"/>
      <c r="J71" s="10" t="inlineStr"/>
    </row>
    <row r="72" ht="44" customHeight="1">
      <c r="A72" s="7" t="inlineStr">
        <is>
          <t>posture-05</t>
        </is>
      </c>
      <c r="B72" s="7" t="inlineStr">
        <is>
          <t>데드버그</t>
        </is>
      </c>
      <c r="C72" s="7" t="inlineStr">
        <is>
          <t>체형교정</t>
        </is>
      </c>
      <c r="D72" s="12" t="inlineStr">
        <is>
          <t>-</t>
        </is>
      </c>
      <c r="E72" s="12" t="inlineStr">
        <is>
          <t>초급</t>
        </is>
      </c>
      <c r="F72" s="7" t="inlineStr">
        <is>
          <t>허리를 고정한 채 팔다리를 움직이는 코어 안정성을 기릅니다.</t>
        </is>
      </c>
      <c r="G72" s="7" t="inlineStr">
        <is>
          <t>천장을 보고 누워 무릎과 고관절을 90도로 듭니다. → 양팔을 천장 쪽으로 뻗습니다. → 숨을 내쉬며 오른팔과 왼다리를 천천히 뻗습니다. → 허리가 뜨지 않는 범위까지만 내렸다가 돌아옵니다.</t>
        </is>
      </c>
      <c r="H72" s="7" t="inlineStr">
        <is>
          <t>허리 통증이 생기면 팔만 또는 다리만 움직이세요.</t>
        </is>
      </c>
      <c r="I72" s="9" t="inlineStr"/>
      <c r="J72" s="10" t="inlineStr"/>
    </row>
    <row r="73" ht="44" customHeight="1">
      <c r="A73" s="7" t="inlineStr">
        <is>
          <t>posture-06</t>
        </is>
      </c>
      <c r="B73" s="7" t="inlineStr">
        <is>
          <t>힙플렉서 스트레칭</t>
        </is>
      </c>
      <c r="C73" s="7" t="inlineStr">
        <is>
          <t>체형교정</t>
        </is>
      </c>
      <c r="D73" s="12" t="inlineStr">
        <is>
          <t>-</t>
        </is>
      </c>
      <c r="E73" s="12" t="inlineStr">
        <is>
          <t>초급</t>
        </is>
      </c>
      <c r="F73" s="7" t="inlineStr">
        <is>
          <t>오래 앉아 짧아진 고관절 앞쪽을 늘려 골반 위치를 되돌립니다.</t>
        </is>
      </c>
      <c r="G73" s="7" t="inlineStr">
        <is>
          <t>한쪽 무릎을 바닥에 대고 반대쪽 발은 앞에 놓습니다. → 골반을 살짝 뒤로 말아 넣습니다. → 그 상태로 몸을 앞으로 천천히 이동합니다. → 허벅지 앞쪽이 늘어나는 지점에서 20초 유지합니다.</t>
        </is>
      </c>
      <c r="H73" s="7" t="inlineStr">
        <is>
          <t>무릎이 배기면 수건을 깔고 진행하세요.</t>
        </is>
      </c>
      <c r="I73" s="9" t="inlineStr"/>
      <c r="J73" s="10" t="inlineStr"/>
    </row>
    <row r="74" ht="44" customHeight="1">
      <c r="A74" s="7" t="inlineStr">
        <is>
          <t>posture-07</t>
        </is>
      </c>
      <c r="B74" s="7" t="inlineStr">
        <is>
          <t>글루트 브릿지</t>
        </is>
      </c>
      <c r="C74" s="7" t="inlineStr">
        <is>
          <t>체형교정</t>
        </is>
      </c>
      <c r="D74" s="12" t="inlineStr">
        <is>
          <t>-</t>
        </is>
      </c>
      <c r="E74" s="12" t="inlineStr">
        <is>
          <t>초급</t>
        </is>
      </c>
      <c r="F74" s="7" t="inlineStr">
        <is>
          <t>엉덩이 근육을 깨워 허리가 대신 일하는 것을 줄입니다.</t>
        </is>
      </c>
      <c r="G74" s="7" t="inlineStr">
        <is>
          <t>무릎을 세우고 눕습니다. → 갈비뼈를 살짝 내리고 배에 힘을 줍니다. → 엉덩이에 힘을 주며 골반을 들어 올립니다. → 허리를 꺾지 않고 천천히 내려옵니다.</t>
        </is>
      </c>
      <c r="H74" s="7" t="inlineStr">
        <is>
          <t>허리가 아프면 범위를 줄이세요. / 허리로 드는 느낌이 강하면 중단하고 쉬운 동작으로 바꾸세요.</t>
        </is>
      </c>
      <c r="I74" s="9" t="inlineStr"/>
      <c r="J74" s="10" t="inlineStr"/>
    </row>
    <row r="75" ht="44" customHeight="1">
      <c r="A75" s="7" t="inlineStr">
        <is>
          <t>posture-08</t>
        </is>
      </c>
      <c r="B75" s="7" t="inlineStr">
        <is>
          <t>벽 천사 운동 (월 엔젤)</t>
        </is>
      </c>
      <c r="C75" s="7" t="inlineStr">
        <is>
          <t>체형교정</t>
        </is>
      </c>
      <c r="D75" s="12" t="inlineStr">
        <is>
          <t>-</t>
        </is>
      </c>
      <c r="E75" s="12" t="inlineStr">
        <is>
          <t>초급</t>
        </is>
      </c>
      <c r="F75" s="7" t="inlineStr">
        <is>
          <t>등을 편 상태로 팔을 들어 올리는 어깨 움직임을 익힙니다.</t>
        </is>
      </c>
      <c r="G75" s="7" t="inlineStr">
        <is>
          <t>벽에 등을 대고 서서 뒤통수·등·엉덩이를 붙입니다. → 팔꿈치와 손등도 벽에 붙입니다. → 벽에서 떨어지지 않게 팔을 위로 천천히 밀어 올립니다. → 떨어지기 직전 높이에서 멈추고 내려옵니다.</t>
        </is>
      </c>
      <c r="H75" s="7" t="inlineStr">
        <is>
          <t>어깨 앞쪽에 찌릿한 통증이 있으면 중단하세요.</t>
        </is>
      </c>
      <c r="I75" s="9" t="inlineStr"/>
      <c r="J75" s="10" t="inlineStr"/>
    </row>
    <row r="76" ht="44" customHeight="1">
      <c r="A76" s="7" t="inlineStr">
        <is>
          <t>shoulder-p1-01</t>
        </is>
      </c>
      <c r="B76" s="7" t="inlineStr">
        <is>
          <t>펜듈럼 (진자 운동)</t>
        </is>
      </c>
      <c r="C76" s="7" t="inlineStr">
        <is>
          <t>어깨 회복운동</t>
        </is>
      </c>
      <c r="D76" s="12" t="inlineStr">
        <is>
          <t>P1</t>
        </is>
      </c>
      <c r="E76" s="12" t="inlineStr">
        <is>
          <t>초급</t>
        </is>
      </c>
      <c r="F76" s="7" t="inlineStr">
        <is>
          <t>어깨에 힘을 주지 않고 관절을 부드럽게 움직여 줍니다.</t>
        </is>
      </c>
      <c r="G76" s="7" t="inlineStr">
        <is>
          <t>한 손으로 의자나 책상을 짚고 상체를 앞으로 숙입니다. → 아픈 쪽 팔에 힘을 빼고 늘어뜨립니다. → 몸통을 살짝 흔들어 팔이 저절로 원을 그리게 합니다. → 시계 방향, 반시계 방향으로 각 30초 진행합니다.</t>
        </is>
      </c>
      <c r="H76" s="7" t="inlineStr">
        <is>
          <t>통증이 늘어나면 원을 더 작게 만드세요.</t>
        </is>
      </c>
      <c r="I76" s="9" t="inlineStr"/>
      <c r="J76" s="10" t="inlineStr"/>
    </row>
    <row r="77" ht="44" customHeight="1">
      <c r="A77" s="7" t="inlineStr">
        <is>
          <t>shoulder-p1-02</t>
        </is>
      </c>
      <c r="B77" s="7" t="inlineStr">
        <is>
          <t>견갑 세팅</t>
        </is>
      </c>
      <c r="C77" s="7" t="inlineStr">
        <is>
          <t>어깨 회복운동</t>
        </is>
      </c>
      <c r="D77" s="12" t="inlineStr">
        <is>
          <t>P1</t>
        </is>
      </c>
      <c r="E77" s="12" t="inlineStr">
        <is>
          <t>초급</t>
        </is>
      </c>
      <c r="F77" s="7" t="inlineStr">
        <is>
          <t>어깨뼈를 제자리에 두는 감각을 되찾습니다.</t>
        </is>
      </c>
      <c r="G77" s="7" t="inlineStr">
        <is>
          <t>바르게 앉거나 섭니다. → 양쪽 어깨뼈를 뒤쪽 아래로 살짝 모읍니다. → 5초 유지한 뒤 천천히 풉니다.</t>
        </is>
      </c>
      <c r="H77" s="7" t="inlineStr"/>
      <c r="I77" s="9" t="inlineStr"/>
      <c r="J77" s="10" t="inlineStr"/>
    </row>
    <row r="78" ht="44" customHeight="1">
      <c r="A78" s="7" t="inlineStr">
        <is>
          <t>shoulder-p1-03</t>
        </is>
      </c>
      <c r="B78" s="7" t="inlineStr">
        <is>
          <t>어깨 외회전 등척성</t>
        </is>
      </c>
      <c r="C78" s="7" t="inlineStr">
        <is>
          <t>어깨 회복운동</t>
        </is>
      </c>
      <c r="D78" s="12" t="inlineStr">
        <is>
          <t>P1</t>
        </is>
      </c>
      <c r="E78" s="12" t="inlineStr">
        <is>
          <t>초급</t>
        </is>
      </c>
      <c r="F78" s="7" t="inlineStr">
        <is>
          <t>관절을 움직이지 않고 어깨 뒤쪽 근육에 힘을 넣어 봅니다.</t>
        </is>
      </c>
      <c r="G78" s="7" t="inlineStr">
        <is>
          <t>팔꿈치를 90도로 굽혀 몸통에 붙입니다. → 주먹 바깥쪽을 벽이나 문틀에 댑니다. → 팔을 바깥으로 미는 힘을 주되 실제로 움직이지는 않습니다. → 5초 힘을 주고 5초 쉽니다.</t>
        </is>
      </c>
      <c r="H78" s="7" t="inlineStr">
        <is>
          <t>힘을 줄 때 통증이 커지면 세기를 줄이세요.</t>
        </is>
      </c>
      <c r="I78" s="9" t="inlineStr"/>
      <c r="J78" s="10" t="inlineStr"/>
    </row>
    <row r="79" ht="44" customHeight="1">
      <c r="A79" s="7" t="inlineStr">
        <is>
          <t>shoulder-p2-01</t>
        </is>
      </c>
      <c r="B79" s="7" t="inlineStr">
        <is>
          <t>밴드 외회전</t>
        </is>
      </c>
      <c r="C79" s="7" t="inlineStr">
        <is>
          <t>어깨 회복운동</t>
        </is>
      </c>
      <c r="D79" s="12" t="inlineStr">
        <is>
          <t>P2</t>
        </is>
      </c>
      <c r="E79" s="12" t="inlineStr">
        <is>
          <t>초급</t>
        </is>
      </c>
      <c r="F79" s="7" t="inlineStr">
        <is>
          <t>어깨를 안정시키는 회전근을 깨웁니다.</t>
        </is>
      </c>
      <c r="G79" s="7" t="inlineStr">
        <is>
          <t>밴드를 문고리에 걸고 팔꿈치를 90도로 굽혀 몸통에 붙입니다. → 팔꿈치를 붙인 채로 손을 바깥쪽으로 돌립니다. → 천천히 원위치로 돌아옵니다.</t>
        </is>
      </c>
      <c r="H79" s="7" t="inlineStr"/>
      <c r="I79" s="9" t="inlineStr"/>
      <c r="J79" s="10" t="inlineStr"/>
    </row>
    <row r="80" ht="44" customHeight="1">
      <c r="A80" s="7" t="inlineStr">
        <is>
          <t>shoulder-p2-02</t>
        </is>
      </c>
      <c r="B80" s="7" t="inlineStr">
        <is>
          <t>월슬라이드</t>
        </is>
      </c>
      <c r="C80" s="7" t="inlineStr">
        <is>
          <t>어깨 회복운동</t>
        </is>
      </c>
      <c r="D80" s="12" t="inlineStr">
        <is>
          <t>P2</t>
        </is>
      </c>
      <c r="E80" s="12" t="inlineStr">
        <is>
          <t>초급</t>
        </is>
      </c>
      <c r="F80" s="7" t="inlineStr">
        <is>
          <t>어깨뼈가 함께 움직이며 팔을 올리는 패턴을 익힙니다.</t>
        </is>
      </c>
      <c r="G80" s="7" t="inlineStr">
        <is>
          <t>벽에 등을 대고 서서 팔꿈치와 손등을 벽에 붙입니다. → 벽에서 떨어지지 않게 팔을 위로 밀어 올립니다. → 떨어지기 직전 높이에서 멈추고 천천히 내려옵니다.</t>
        </is>
      </c>
      <c r="H80" s="7" t="inlineStr"/>
      <c r="I80" s="9" t="inlineStr"/>
      <c r="J80" s="10" t="inlineStr"/>
    </row>
    <row r="81" ht="44" customHeight="1">
      <c r="A81" s="7" t="inlineStr">
        <is>
          <t>shoulder-p2-03</t>
        </is>
      </c>
      <c r="B81" s="7" t="inlineStr">
        <is>
          <t>세라투스 펀치</t>
        </is>
      </c>
      <c r="C81" s="7" t="inlineStr">
        <is>
          <t>어깨 회복운동</t>
        </is>
      </c>
      <c r="D81" s="12" t="inlineStr">
        <is>
          <t>P2</t>
        </is>
      </c>
      <c r="E81" s="12" t="inlineStr">
        <is>
          <t>초급</t>
        </is>
      </c>
      <c r="F81" s="7" t="inlineStr">
        <is>
          <t>어깨뼈를 앞으로 밀어 주는 근육(전거근)을 활성화합니다.</t>
        </is>
      </c>
      <c r="G81" s="7" t="inlineStr">
        <is>
          <t>천장을 보고 누워 양팔을 천장으로 뻗습니다. → 팔은 편 채로 어깨만 천장 쪽으로 밀어 올립니다. → 2초 유지한 뒤 천천히 내립니다.</t>
        </is>
      </c>
      <c r="H81" s="7" t="inlineStr"/>
      <c r="I81" s="9" t="inlineStr"/>
      <c r="J81" s="10" t="inlineStr"/>
    </row>
    <row r="82" ht="44" customHeight="1">
      <c r="A82" s="7" t="inlineStr">
        <is>
          <t>shoulder-p3-01</t>
        </is>
      </c>
      <c r="B82" s="7" t="inlineStr">
        <is>
          <t>프론 Y</t>
        </is>
      </c>
      <c r="C82" s="7" t="inlineStr">
        <is>
          <t>어깨 회복운동</t>
        </is>
      </c>
      <c r="D82" s="12" t="inlineStr">
        <is>
          <t>P3</t>
        </is>
      </c>
      <c r="E82" s="12" t="inlineStr">
        <is>
          <t>중급</t>
        </is>
      </c>
      <c r="F82" s="7" t="inlineStr">
        <is>
          <t>등 위쪽과 어깨 뒤 근육의 힘을 되찾습니다.</t>
        </is>
      </c>
      <c r="G82" s="7" t="inlineStr">
        <is>
          <t>엎드려 누워 이마를 바닥이나 수건에 댑니다. → 양팔을 Y자 모양으로 머리 위쪽으로 뻗습니다. → 엄지를 위로 향한 채 팔을 바닥에서 들어 올립니다. → 2초 유지 후 천천히 내립니다.</t>
        </is>
      </c>
      <c r="H82" s="7" t="inlineStr">
        <is>
          <t>허리에 통증이 생기면 중단하세요.</t>
        </is>
      </c>
      <c r="I82" s="9" t="inlineStr"/>
      <c r="J82" s="10" t="inlineStr"/>
    </row>
    <row r="83" ht="44" customHeight="1">
      <c r="A83" s="7" t="inlineStr">
        <is>
          <t>shoulder-p3-02</t>
        </is>
      </c>
      <c r="B83" s="7" t="inlineStr">
        <is>
          <t>프론 T</t>
        </is>
      </c>
      <c r="C83" s="7" t="inlineStr">
        <is>
          <t>어깨 회복운동</t>
        </is>
      </c>
      <c r="D83" s="12" t="inlineStr">
        <is>
          <t>P3</t>
        </is>
      </c>
      <c r="E83" s="12" t="inlineStr">
        <is>
          <t>중급</t>
        </is>
      </c>
      <c r="F83" s="7" t="inlineStr">
        <is>
          <t>어깨뼈를 모으는 근육의 지구력을 기릅니다.</t>
        </is>
      </c>
      <c r="G83" s="7" t="inlineStr">
        <is>
          <t>엎드려 누워 양팔을 옆으로 T자로 벌립니다. → 엄지를 위로 향하게 하고 팔을 들어 올립니다. → 2초 유지 후 내립니다.</t>
        </is>
      </c>
      <c r="H83" s="7" t="inlineStr"/>
      <c r="I83" s="9" t="inlineStr"/>
      <c r="J83" s="10" t="inlineStr"/>
    </row>
    <row r="84" ht="44" customHeight="1">
      <c r="A84" s="7" t="inlineStr">
        <is>
          <t>shoulder-p3-03</t>
        </is>
      </c>
      <c r="B84" s="7" t="inlineStr">
        <is>
          <t>푸시업 플러스 (인클라인)</t>
        </is>
      </c>
      <c r="C84" s="7" t="inlineStr">
        <is>
          <t>어깨 회복운동</t>
        </is>
      </c>
      <c r="D84" s="12" t="inlineStr">
        <is>
          <t>P3</t>
        </is>
      </c>
      <c r="E84" s="12" t="inlineStr">
        <is>
          <t>중급</t>
        </is>
      </c>
      <c r="F84" s="7" t="inlineStr">
        <is>
          <t>미는 힘과 어깨뼈 안정성을 함께 기릅니다.</t>
        </is>
      </c>
      <c r="G84" s="7" t="inlineStr">
        <is>
          <t>책상이나 벽에 손을 어깨너비로 짚습니다. → 푸시업을 1회 수행합니다. → 팔을 다 편 뒤 등을 한 번 더 밀어 어깨뼈를 벌립니다. → 천천히 돌아옵니다.</t>
        </is>
      </c>
      <c r="H84" s="7" t="inlineStr"/>
      <c r="I84" s="9" t="inlineStr"/>
      <c r="J84" s="10" t="inlineStr"/>
    </row>
    <row r="85" ht="44" customHeight="1">
      <c r="A85" s="7" t="inlineStr">
        <is>
          <t>shoulder-p4-01</t>
        </is>
      </c>
      <c r="B85" s="7" t="inlineStr">
        <is>
          <t>오버헤드 캐리</t>
        </is>
      </c>
      <c r="C85" s="7" t="inlineStr">
        <is>
          <t>어깨 회복운동</t>
        </is>
      </c>
      <c r="D85" s="12" t="inlineStr">
        <is>
          <t>P4</t>
        </is>
      </c>
      <c r="E85" s="12" t="inlineStr">
        <is>
          <t>중급</t>
        </is>
      </c>
      <c r="F85" s="7" t="inlineStr">
        <is>
          <t>팔을 든 상태로 어깨를 안정시키며 걷는 능력을 회복합니다.</t>
        </is>
      </c>
      <c r="G85" s="7" t="inlineStr">
        <is>
          <t>가벼운 덤벨을 한 손으로 머리 위로 듭니다. → 팔꿈치를 편 상태를 유지합니다. → 20초 동안 천천히 걷습니다.</t>
        </is>
      </c>
      <c r="H85" s="7" t="inlineStr">
        <is>
          <t>팔이 떨리기 시작하면 바로 내리세요.</t>
        </is>
      </c>
      <c r="I85" s="9" t="inlineStr"/>
      <c r="J85" s="10" t="inlineStr"/>
    </row>
    <row r="86" ht="44" customHeight="1">
      <c r="A86" s="7" t="inlineStr">
        <is>
          <t>shoulder-p4-02</t>
        </is>
      </c>
      <c r="B86" s="7" t="inlineStr">
        <is>
          <t>밴드 체스트 패스</t>
        </is>
      </c>
      <c r="C86" s="7" t="inlineStr">
        <is>
          <t>어깨 회복운동</t>
        </is>
      </c>
      <c r="D86" s="12" t="inlineStr">
        <is>
          <t>P4</t>
        </is>
      </c>
      <c r="E86" s="12" t="inlineStr">
        <is>
          <t>중급</t>
        </is>
      </c>
      <c r="F86" s="7" t="inlineStr">
        <is>
          <t>빠르게 미는 동작으로 스포츠 상황에 대비합니다.</t>
        </is>
      </c>
      <c r="G86" s="7" t="inlineStr">
        <is>
          <t>밴드를 뒤쪽에 고정하고 양손으로 가슴 앞에 잡습니다. → 농구 체스트 패스처럼 앞으로 밀어 냅니다. → 천천히 통제하며 돌아옵니다.</t>
        </is>
      </c>
      <c r="H86" s="7" t="inlineStr">
        <is>
          <t>통증이 있으면 속도를 낮추세요.</t>
        </is>
      </c>
      <c r="I86" s="9" t="inlineStr"/>
      <c r="J86" s="10" t="inlineStr"/>
    </row>
    <row r="87" ht="44" customHeight="1">
      <c r="A87" s="7" t="inlineStr">
        <is>
          <t>shoulder-p4-03</t>
        </is>
      </c>
      <c r="B87" s="7" t="inlineStr">
        <is>
          <t>벽 짚고 어깨 안정화 버티기</t>
        </is>
      </c>
      <c r="C87" s="7" t="inlineStr">
        <is>
          <t>어깨 회복운동</t>
        </is>
      </c>
      <c r="D87" s="12" t="inlineStr">
        <is>
          <t>P4</t>
        </is>
      </c>
      <c r="E87" s="12" t="inlineStr">
        <is>
          <t>중급</t>
        </is>
      </c>
      <c r="F87" s="7" t="inlineStr">
        <is>
          <t>어깨로 체중을 받치는 상황에 다시 익숙해집니다.</t>
        </is>
      </c>
      <c r="G87" s="7" t="inlineStr">
        <is>
          <t>벽에서 한 걸음 떨어져 한 손으로 벽을 짚습니다. → 몸을 한 줄로 유지한 채 20초 버팁니다. → 반대쪽도 진행합니다.</t>
        </is>
      </c>
      <c r="H87" s="7" t="inlineStr"/>
      <c r="I87" s="9" t="inlineStr"/>
      <c r="J87" s="10" t="inlineStr"/>
    </row>
  </sheetData>
  <autoFilter ref="A1:J87"/>
  <dataValidations count="1">
    <dataValidation sqref="I2:I87" showDropDown="0" showInputMessage="0" showErrorMessage="0" allowBlank="1" promptTitle="판정" prompt="O = 괜찮음 / △ = 수정 필요 / X = 빼야 함" type="list">
      <formula1>"O,△,X"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1" customWidth="1" min="3" max="3"/>
    <col width="10" customWidth="1" min="4" max="4"/>
    <col width="9" customWidth="1" min="5" max="5"/>
    <col width="56" customWidth="1" min="6" max="6"/>
    <col width="50" customWidth="1" min="7" max="7"/>
    <col width="8" customWidth="1" min="8" max="8"/>
    <col width="28" customWidth="1" min="9" max="9"/>
  </cols>
  <sheetData>
    <row r="1">
      <c r="A1" s="6" t="inlineStr">
        <is>
          <t>트랙</t>
        </is>
      </c>
      <c r="B1" s="6" t="inlineStr">
        <is>
          <t>대상</t>
        </is>
      </c>
      <c r="C1" s="6" t="inlineStr">
        <is>
          <t>탄수화물 %</t>
        </is>
      </c>
      <c r="D1" s="6" t="inlineStr">
        <is>
          <t>단백질 %</t>
        </is>
      </c>
      <c r="E1" s="6" t="inlineStr">
        <is>
          <t>지방 %</t>
        </is>
      </c>
      <c r="F1" s="6" t="inlineStr">
        <is>
          <t>핵심 원칙</t>
        </is>
      </c>
      <c r="G1" s="6" t="inlineStr">
        <is>
          <t>학생 안내</t>
        </is>
      </c>
      <c r="H1" s="6" t="inlineStr">
        <is>
          <t>판정</t>
        </is>
      </c>
      <c r="I1" s="6" t="inlineStr">
        <is>
          <t>의견</t>
        </is>
      </c>
    </row>
    <row r="2" ht="70" customHeight="1">
      <c r="A2" s="7" t="inlineStr">
        <is>
          <t>건강 체중관리</t>
        </is>
      </c>
      <c r="B2" s="7" t="inlineStr">
        <is>
          <t>무리하지 않고 식사의 질을 바꾸고 싶은 사용자</t>
        </is>
      </c>
      <c r="C2" s="12" t="inlineStr">
        <is>
          <t>35~45</t>
        </is>
      </c>
      <c r="D2" s="12" t="inlineStr">
        <is>
          <t>25~35</t>
        </is>
      </c>
      <c r="E2" s="12" t="inlineStr">
        <is>
          <t>20~30</t>
        </is>
      </c>
      <c r="F2" s="7" t="inlineStr">
        <is>
          <t>굶지 않습니다. 끼니를 거르면 다음 끼니에 몰아 먹게 됩니다. / 단백질과 채소를 먼저 채우고 나머지를 채웁니다. / 단 음료를 물이나 우유로 바꿉니다. / 야식 빈도를 조금씩 줄입니다.</t>
        </is>
      </c>
      <c r="G2" s="7" t="inlineStr">
        <is>
          <t>식사를 거르지 않습니다. / 단 음료 대신 물이나 우유를 선택합니다. / 급식에서 단백질 반찬과 채소를 먼저 챙깁니다. / 체중 숫자보다 컨디션과 식사 규칙성을 봅니다.</t>
        </is>
      </c>
      <c r="H2" s="9" t="inlineStr"/>
      <c r="I2" s="10" t="inlineStr"/>
    </row>
    <row r="3" ht="70" customHeight="1">
      <c r="A3" s="7" t="inlineStr">
        <is>
          <t>벌크업 / 근육량 증가</t>
        </is>
      </c>
      <c r="B3" s="7" t="inlineStr">
        <is>
          <t>근육량을 늘리고 싶은 사용자</t>
        </is>
      </c>
      <c r="C3" s="12" t="inlineStr">
        <is>
          <t>45~55</t>
        </is>
      </c>
      <c r="D3" s="12" t="inlineStr">
        <is>
          <t>20~25</t>
        </is>
      </c>
      <c r="E3" s="12" t="inlineStr">
        <is>
          <t>20~30</t>
        </is>
      </c>
      <c r="F3" s="7" t="inlineStr">
        <is>
          <t>총 식사량이 부족하면 근육이 늘지 않습니다. 끼니를 챙기는 것이 먼저입니다. / 매 끼니 단백질을 손바닥 1개분 이상 챙깁니다. / 운동 후 1시간 이내에 탄수화물과 단백질을 함께 먹습니다. / 간식을 한 끼처럼 활용합니다.</t>
        </is>
      </c>
      <c r="G3" s="7" t="inlineStr">
        <is>
          <t>매 끼니 단백질 손바닥 1개분을 챙깁니다. / 운동한 날에는 밥과 단백질을 평소보다 조금 더 챙깁니다. / 보충제보다 실제 음식으로 먼저 채웁니다.</t>
        </is>
      </c>
      <c r="H3" s="9" t="inlineStr"/>
      <c r="I3" s="10" t="inlineStr"/>
    </row>
    <row r="4" ht="70" customHeight="1">
      <c r="A4" s="7" t="inlineStr">
        <is>
          <t>일반 건강식</t>
        </is>
      </c>
      <c r="B4" s="7" t="inlineStr">
        <is>
          <t>규칙적이고 균형 잡힌 식사를 하고 싶은 사용자</t>
        </is>
      </c>
      <c r="C4" s="12" t="inlineStr">
        <is>
          <t>45~55</t>
        </is>
      </c>
      <c r="D4" s="12" t="inlineStr">
        <is>
          <t>15~25</t>
        </is>
      </c>
      <c r="E4" s="12" t="inlineStr">
        <is>
          <t>20~30</t>
        </is>
      </c>
      <c r="F4" s="7" t="inlineStr">
        <is>
          <t>하루 세 끼를 비슷한 시간에 먹습니다. / 한 끼에 단백질·채소·탄수화물 세 가지를 채웁니다. / 물을 충분히 마십니다. / 잠을 충분히 잡니다. 회복은 잘 때 일어납니다.</t>
        </is>
      </c>
      <c r="G4" s="7" t="inlineStr">
        <is>
          <t>아침을 거르지 않습니다. / 급식에서 단백질과 채소를 먼저 챙깁니다. / 물을 자주 마십니다. / 잠을 충분히 잡니다.</t>
        </is>
      </c>
      <c r="H4" s="9" t="inlineStr"/>
      <c r="I4" s="10" t="inlineStr"/>
    </row>
    <row r="5" ht="70" customHeight="1">
      <c r="A5" s="7" t="inlineStr">
        <is>
          <t>회복 / 면역 / 미네랄</t>
        </is>
      </c>
      <c r="B5" s="7" t="inlineStr">
        <is>
          <t>부상 회복 중이거나 컨디션을 끌어올리고 싶은 사용자</t>
        </is>
      </c>
      <c r="C5" s="12" t="inlineStr">
        <is>
          <t>40~50</t>
        </is>
      </c>
      <c r="D5" s="12" t="inlineStr">
        <is>
          <t>20~30</t>
        </is>
      </c>
      <c r="E5" s="12" t="inlineStr">
        <is>
          <t>20~30</t>
        </is>
      </c>
      <c r="F5" s="7" t="inlineStr">
        <is>
          <t>회복에는 단백질이 평소보다 조금 더 필요합니다. / 채소와 과일로 비타민과 미네랄을 채웁니다. / 수분을 충분히 챙깁니다. / 잠이 부족하면 회복이 느려집니다.</t>
        </is>
      </c>
      <c r="G5" s="7" t="inlineStr">
        <is>
          <t>다치거나 아플 때는 오히려 잘 먹어야 회복이 빠릅니다. / 매 끼니 단백질 손바닥 1개분과 채소 주먹 2개분을 챙깁니다. / 물을 자주 마시고 잠을 충분히 잡니다.</t>
        </is>
      </c>
      <c r="H5" s="9" t="inlineStr"/>
      <c r="I5" s="10" t="inlineStr"/>
    </row>
    <row r="7">
      <c r="A7" s="13" t="inlineStr">
        <is>
          <t>여쭙고 싶은 것: 탄단지 비율이 최신 한국인 영양소 섭취기준과 맞습니까? 성장기 청소년에게 그대로 적용해도 됩니까? 빠진 주의사항이 있습니까?</t>
        </is>
      </c>
    </row>
  </sheetData>
  <mergeCells count="1">
    <mergeCell ref="A7:I7"/>
  </mergeCells>
  <dataValidations count="1">
    <dataValidation sqref="H2:H5" showDropDown="0" showInputMessage="0" showErrorMessage="0" allowBlank="1" promptTitle="판정" prompt="O = 괜찮음 / △ = 수정 필요 / X = 빼야 함" type="list">
      <formula1>"O,△,X"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6" customWidth="1" min="3" max="3"/>
    <col width="8" customWidth="1" min="4" max="4"/>
    <col width="34" customWidth="1" min="5" max="5"/>
  </cols>
  <sheetData>
    <row r="1">
      <c r="A1" s="6" t="inlineStr">
        <is>
          <t>구분</t>
        </is>
      </c>
      <c r="B1" s="6" t="inlineStr">
        <is>
          <t>기준</t>
        </is>
      </c>
      <c r="C1" s="6" t="inlineStr">
        <is>
          <t>앱의 반응</t>
        </is>
      </c>
      <c r="D1" s="6" t="inlineStr">
        <is>
          <t>판정</t>
        </is>
      </c>
      <c r="E1" s="6" t="inlineStr">
        <is>
          <t>의견</t>
        </is>
      </c>
    </row>
    <row r="2" ht="26" customHeight="1">
      <c r="A2" s="7" t="inlineStr">
        <is>
          <t>설문 시점</t>
        </is>
      </c>
      <c r="B2" s="7" t="inlineStr">
        <is>
          <t>통증 7점 이상</t>
        </is>
      </c>
      <c r="C2" s="7" t="inlineStr">
        <is>
          <t>운동 제공 안 함, 전문가 상담 안내</t>
        </is>
      </c>
      <c r="D2" s="9" t="inlineStr"/>
      <c r="E2" s="10" t="inlineStr"/>
    </row>
    <row r="3" ht="26" customHeight="1">
      <c r="A3" s="7" t="inlineStr">
        <is>
          <t>설문 시점</t>
        </is>
      </c>
      <c r="B3" s="7" t="inlineStr">
        <is>
          <t>통증 4~6점</t>
        </is>
      </c>
      <c r="C3" s="7" t="inlineStr">
        <is>
          <t>Phase 1 (통증 완화 / 가동성 회복)</t>
        </is>
      </c>
      <c r="D3" s="9" t="inlineStr"/>
      <c r="E3" s="10" t="inlineStr"/>
    </row>
    <row r="4" ht="26" customHeight="1">
      <c r="A4" s="7" t="inlineStr">
        <is>
          <t>설문 시점</t>
        </is>
      </c>
      <c r="B4" s="7" t="inlineStr">
        <is>
          <t>통증 1~3점</t>
        </is>
      </c>
      <c r="C4" s="7" t="inlineStr">
        <is>
          <t>Phase 2 (안정화 / 근육 활성화)</t>
        </is>
      </c>
      <c r="D4" s="9" t="inlineStr"/>
      <c r="E4" s="10" t="inlineStr"/>
    </row>
    <row r="5" ht="26" customHeight="1">
      <c r="A5" s="7" t="inlineStr">
        <is>
          <t>설문 시점</t>
        </is>
      </c>
      <c r="B5" s="7" t="inlineStr">
        <is>
          <t>통증 0점</t>
        </is>
      </c>
      <c r="C5" s="7" t="inlineStr">
        <is>
          <t>회복운동 대상 아님. 목표별 루틴</t>
        </is>
      </c>
      <c r="D5" s="9" t="inlineStr"/>
      <c r="E5" s="10" t="inlineStr"/>
    </row>
    <row r="6" ht="26" customHeight="1">
      <c r="A6" s="7" t="inlineStr">
        <is>
          <t>운동 중</t>
        </is>
      </c>
      <c r="B6" s="7" t="inlineStr">
        <is>
          <t>통증 0~3점</t>
        </is>
      </c>
      <c r="C6" s="7" t="inlineStr">
        <is>
          <t>현재 루틴 유지</t>
        </is>
      </c>
      <c r="D6" s="9" t="inlineStr"/>
      <c r="E6" s="10" t="inlineStr"/>
    </row>
    <row r="7" ht="26" customHeight="1">
      <c r="A7" s="7" t="inlineStr">
        <is>
          <t>운동 중</t>
        </is>
      </c>
      <c r="B7" s="7" t="inlineStr">
        <is>
          <t>통증 4~5점</t>
        </is>
      </c>
      <c r="C7" s="7" t="inlineStr">
        <is>
          <t>횟수 절반, 가동범위 축소, 쉬운 동작으로</t>
        </is>
      </c>
      <c r="D7" s="9" t="inlineStr"/>
      <c r="E7" s="10" t="inlineStr"/>
    </row>
    <row r="8" ht="26" customHeight="1">
      <c r="A8" s="7" t="inlineStr">
        <is>
          <t>운동 중</t>
        </is>
      </c>
      <c r="B8" s="7" t="inlineStr">
        <is>
          <t>통증 6점 이상</t>
        </is>
      </c>
      <c r="C8" s="7" t="inlineStr">
        <is>
          <t>해당 운동 중단, 기록 저장, 상담 안내</t>
        </is>
      </c>
      <c r="D8" s="9" t="inlineStr"/>
      <c r="E8" s="10" t="inlineStr"/>
    </row>
    <row r="9" ht="26" customHeight="1">
      <c r="A9" s="7" t="inlineStr">
        <is>
          <t>운동 후</t>
        </is>
      </c>
      <c r="B9" s="7" t="inlineStr">
        <is>
          <t>통증이 운동 전보다 높음</t>
        </is>
      </c>
      <c r="C9" s="7" t="inlineStr">
        <is>
          <t>다음 루틴 강도 하향</t>
        </is>
      </c>
      <c r="D9" s="9" t="inlineStr"/>
      <c r="E9" s="10" t="inlineStr"/>
    </row>
    <row r="10" ht="26" customHeight="1">
      <c r="A10" s="7" t="inlineStr">
        <is>
          <t>위험도</t>
        </is>
      </c>
      <c r="B10" s="7" t="inlineStr">
        <is>
          <t>위험 신호 1개 이상 또는 통증 7점 이상</t>
        </is>
      </c>
      <c r="C10" s="7" t="inlineStr">
        <is>
          <t>Red — 운동 제공 중단</t>
        </is>
      </c>
      <c r="D10" s="9" t="inlineStr"/>
      <c r="E10" s="10" t="inlineStr"/>
    </row>
    <row r="11" ht="26" customHeight="1">
      <c r="A11" s="7" t="inlineStr">
        <is>
          <t>위험도</t>
        </is>
      </c>
      <c r="B11" s="7" t="inlineStr">
        <is>
          <t>통증 4~6점 또는 붓기·당일 발생·상시 통증</t>
        </is>
      </c>
      <c r="C11" s="7" t="inlineStr">
        <is>
          <t>Yellow — 저강도 회복운동</t>
        </is>
      </c>
      <c r="D11" s="9" t="inlineStr"/>
      <c r="E11" s="10" t="inlineStr"/>
    </row>
    <row r="12" ht="26" customHeight="1">
      <c r="A12" s="7" t="inlineStr">
        <is>
          <t>위험도</t>
        </is>
      </c>
      <c r="B12" s="7" t="inlineStr">
        <is>
          <t>통증 0~3점, 위험 신호 없음</t>
        </is>
      </c>
      <c r="C12" s="7" t="inlineStr">
        <is>
          <t>Green — 회복·교정 운동</t>
        </is>
      </c>
      <c r="D12" s="9" t="inlineStr"/>
      <c r="E12" s="10" t="inlineStr"/>
    </row>
    <row r="13" ht="26" customHeight="1">
      <c r="A13" s="7" t="inlineStr">
        <is>
          <t>위험도</t>
        </is>
      </c>
      <c r="B13" s="7" t="inlineStr">
        <is>
          <t>통증 0점 + 주 3회 이상 운동 + 수행능력 목표</t>
        </is>
      </c>
      <c r="C13" s="7" t="inlineStr">
        <is>
          <t>Performance — 기능성 운동</t>
        </is>
      </c>
      <c r="D13" s="9" t="inlineStr"/>
      <c r="E13" s="10" t="inlineStr"/>
    </row>
    <row r="15">
      <c r="A15" s="13" t="inlineStr">
        <is>
          <t>여쭙고 싶은 것: 차단 기준 7점이 타당합니까? 더 낮춰야 합니까? 3개월 이상 지속되는 통증은 점수와 무관하게 차단해야 합니까? (현재는 점수만 봅니다)</t>
        </is>
      </c>
    </row>
  </sheetData>
  <mergeCells count="1">
    <mergeCell ref="A15:E15"/>
  </mergeCells>
  <dataValidations count="1">
    <dataValidation sqref="D2:D13" showDropDown="0" showInputMessage="0" showErrorMessage="0" allowBlank="1" promptTitle="판정" prompt="O = 괜찮음 / △ = 수정 필요 / X = 빼야 함" type="list">
      <formula1>"O,△,X"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6" t="inlineStr">
        <is>
          <t>시트</t>
        </is>
      </c>
      <c r="B1" s="6" t="inlineStr">
        <is>
          <t>전체</t>
        </is>
      </c>
      <c r="C1" s="6" t="inlineStr">
        <is>
          <t>O</t>
        </is>
      </c>
      <c r="D1" s="6" t="inlineStr">
        <is>
          <t>△</t>
        </is>
      </c>
      <c r="E1" s="6" t="inlineStr">
        <is>
          <t>X</t>
        </is>
      </c>
      <c r="F1" s="6" t="inlineStr">
        <is>
          <t>남음</t>
        </is>
      </c>
    </row>
    <row r="2" ht="20" customHeight="1">
      <c r="A2" s="7" t="inlineStr">
        <is>
          <t>영상후보</t>
        </is>
      </c>
      <c r="B2" s="9" t="n">
        <v>28</v>
      </c>
      <c r="C2" s="9">
        <f>COUNTIF(영상후보!$F$2:$F$29,"O")</f>
        <v/>
      </c>
      <c r="D2" s="9">
        <f>COUNTIF(영상후보!$F$2:$F$29,"△")</f>
        <v/>
      </c>
      <c r="E2" s="9">
        <f>COUNTIF(영상후보!$F$2:$F$29,"X")</f>
        <v/>
      </c>
      <c r="F2" s="9">
        <f>B2-C2-D2-E2</f>
        <v/>
      </c>
    </row>
    <row r="3" ht="20" customHeight="1">
      <c r="A3" s="7" t="inlineStr">
        <is>
          <t>위험신호</t>
        </is>
      </c>
      <c r="B3" s="9" t="n">
        <v>12</v>
      </c>
      <c r="C3" s="9">
        <f>COUNTIF(위험신호!$D$2:$D$13,"O")</f>
        <v/>
      </c>
      <c r="D3" s="9">
        <f>COUNTIF(위험신호!$D$2:$D$13,"△")</f>
        <v/>
      </c>
      <c r="E3" s="9">
        <f>COUNTIF(위험신호!$D$2:$D$13,"X")</f>
        <v/>
      </c>
      <c r="F3" s="9">
        <f>B3-C3-D3-E3</f>
        <v/>
      </c>
    </row>
    <row r="4" ht="20" customHeight="1">
      <c r="A4" s="7" t="inlineStr">
        <is>
          <t>운동목록</t>
        </is>
      </c>
      <c r="B4" s="9" t="n">
        <v>86</v>
      </c>
      <c r="C4" s="9">
        <f>COUNTIF(운동목록!$I$2:$I$87,"O")</f>
        <v/>
      </c>
      <c r="D4" s="9">
        <f>COUNTIF(운동목록!$I$2:$I$87,"△")</f>
        <v/>
      </c>
      <c r="E4" s="9">
        <f>COUNTIF(운동목록!$I$2:$I$87,"X")</f>
        <v/>
      </c>
      <c r="F4" s="9">
        <f>B4-C4-D4-E4</f>
        <v/>
      </c>
    </row>
    <row r="5" ht="20" customHeight="1">
      <c r="A5" s="7" t="inlineStr">
        <is>
          <t>영양</t>
        </is>
      </c>
      <c r="B5" s="9" t="n">
        <v>4</v>
      </c>
      <c r="C5" s="9">
        <f>COUNTIF(영양!$H$2:$H$5,"O")</f>
        <v/>
      </c>
      <c r="D5" s="9">
        <f>COUNTIF(영양!$H$2:$H$5,"△")</f>
        <v/>
      </c>
      <c r="E5" s="9">
        <f>COUNTIF(영양!$H$2:$H$5,"X")</f>
        <v/>
      </c>
      <c r="F5" s="9">
        <f>B5-C5-D5-E5</f>
        <v/>
      </c>
    </row>
    <row r="6" ht="20" customHeight="1">
      <c r="A6" s="7" t="inlineStr">
        <is>
          <t>기준값</t>
        </is>
      </c>
      <c r="B6" s="9" t="n">
        <v>12</v>
      </c>
      <c r="C6" s="9">
        <f>COUNTIF(기준값!$D$2:$D$13,"O")</f>
        <v/>
      </c>
      <c r="D6" s="9">
        <f>COUNTIF(기준값!$D$2:$D$13,"△")</f>
        <v/>
      </c>
      <c r="E6" s="9">
        <f>COUNTIF(기준값!$D$2:$D$13,"X")</f>
        <v/>
      </c>
      <c r="F6" s="9">
        <f>B6-C6-D6-E6</f>
        <v/>
      </c>
    </row>
    <row r="7" ht="20" customHeight="1">
      <c r="A7" s="15" t="inlineStr">
        <is>
          <t>합계</t>
        </is>
      </c>
      <c r="B7" s="16">
        <f>SUM(B2:B6)</f>
        <v/>
      </c>
      <c r="C7" s="16">
        <f>SUM(C2:C6)</f>
        <v/>
      </c>
      <c r="D7" s="16">
        <f>SUM(D2:D6)</f>
        <v/>
      </c>
      <c r="E7" s="16">
        <f>SUM(E2:E6)</f>
        <v/>
      </c>
      <c r="F7" s="16">
        <f>SUM(F2:F6)</f>
        <v/>
      </c>
    </row>
    <row r="9">
      <c r="A9" s="17" t="inlineStr">
        <is>
          <t>표시하실 때마다 자동으로 세어집니다. (엑셀에서 열면 갱신됩니다)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2026-09-02T08:18:51Z</dcterms:created>
  <dcterms:modified xsi:type="dcterms:W3CDTF">2026-09-02T08:18:51Z</dcterms:modified>
</cp:coreProperties>
</file>